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R/Urea/"/>
    </mc:Choice>
  </mc:AlternateContent>
  <xr:revisionPtr revIDLastSave="0" documentId="13_ncr:1_{1FC12CB1-85D4-984C-A109-BDEB0D8A407C}" xr6:coauthVersionLast="47" xr6:coauthVersionMax="47" xr10:uidLastSave="{00000000-0000-0000-0000-000000000000}"/>
  <bookViews>
    <workbookView xWindow="30400" yWindow="660" windowWidth="33280" windowHeight="20180" firstSheet="1" activeTab="3" xr2:uid="{9174498C-36C7-984B-8DA5-BB1269E7720B}"/>
  </bookViews>
  <sheets>
    <sheet name="Sheet1" sheetId="1" r:id="rId1"/>
    <sheet name="Sheet2" sheetId="2" r:id="rId2"/>
    <sheet name="Sheet4" sheetId="26" r:id="rId3"/>
    <sheet name="Price-1988" sheetId="27" r:id="rId4"/>
    <sheet name="AE1032-single_cell_uptake" sheetId="23" r:id="rId5"/>
    <sheet name="McCarthy" sheetId="3" r:id="rId6"/>
    <sheet name="Eppley 1973" sheetId="4" r:id="rId7"/>
    <sheet name="Eppley 1977" sheetId="5" r:id="rId8"/>
    <sheet name="Harriosn-1985" sheetId="6" r:id="rId9"/>
    <sheet name="Kanda 1985" sheetId="8" r:id="rId10"/>
    <sheet name="Probyn-1985" sheetId="31" r:id="rId11"/>
    <sheet name="Kokkinakis 1987" sheetId="9" r:id="rId12"/>
    <sheet name="Shahlsten-1987" sheetId="10" r:id="rId13"/>
    <sheet name="Probyn-1988" sheetId="11" r:id="rId14"/>
    <sheet name="Chang-1992" sheetId="12" r:id="rId15"/>
    <sheet name="Metzler-1997" sheetId="13" r:id="rId16"/>
    <sheet name="Riegman-1998" sheetId="22" r:id="rId17"/>
    <sheet name="Mengesha-1998" sheetId="28" r:id="rId18"/>
    <sheet name="Varela-1999" sheetId="24" r:id="rId19"/>
    <sheet name="Watts-1999" sheetId="14" r:id="rId20"/>
    <sheet name="Join-2001" sheetId="17" r:id="rId21"/>
    <sheet name="Moore-2002" sheetId="15" r:id="rId22"/>
    <sheet name="Savoya-2004" sheetId="21" r:id="rId23"/>
    <sheet name="Varela-2005" sheetId="35" r:id="rId24"/>
    <sheet name="Painter-2008" sheetId="36" r:id="rId25"/>
    <sheet name="Jourbert-2011" sheetId="18" r:id="rId26"/>
    <sheet name="Thomalla-2011" sheetId="19" r:id="rId27"/>
    <sheet name="Prakash-2015" sheetId="25" r:id="rId28"/>
    <sheet name="Varela-2013" sheetId="37" r:id="rId29"/>
    <sheet name="Xu-2019" sheetId="32" r:id="rId30"/>
    <sheet name="Baer-2019" sheetId="39" r:id="rId31"/>
    <sheet name="Smith-2022" sheetId="33" r:id="rId32"/>
    <sheet name="Flynn-2023" sheetId="34" r:id="rId33"/>
    <sheet name="Shiozaki-2021" sheetId="20" r:id="rId34"/>
    <sheet name="Stanley-2023" sheetId="29" r:id="rId35"/>
    <sheet name="Lim-2024" sheetId="30" r:id="rId36"/>
  </sheets>
  <definedNames>
    <definedName name="_xlnm._FilterDatabase" localSheetId="32" hidden="1">'Flynn-2023'!$A$1:$G$13</definedName>
    <definedName name="_xlnm._FilterDatabase" localSheetId="1" hidden="1">Sheet2!$A$2:$Q$785</definedName>
    <definedName name="_xlnm._FilterDatabase" localSheetId="2" hidden="1">Sheet4!$A$1:$X$88</definedName>
    <definedName name="_xlnm._FilterDatabase" localSheetId="34" hidden="1">'Stanley-2023'!$A$1:$G$25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I690" i="2"/>
  <c r="J690" i="2"/>
  <c r="K690" i="2"/>
  <c r="I691" i="2"/>
  <c r="J691" i="2"/>
  <c r="K691" i="2"/>
  <c r="I692" i="2"/>
  <c r="J692" i="2"/>
  <c r="K692" i="2"/>
  <c r="I693" i="2"/>
  <c r="J693" i="2"/>
  <c r="K693" i="2"/>
  <c r="I694" i="2"/>
  <c r="J694" i="2"/>
  <c r="K694" i="2"/>
  <c r="I695" i="2"/>
  <c r="J695" i="2"/>
  <c r="K695" i="2"/>
  <c r="I696" i="2"/>
  <c r="J696" i="2"/>
  <c r="K696" i="2"/>
  <c r="I697" i="2"/>
  <c r="J697" i="2"/>
  <c r="K697" i="2"/>
  <c r="I698" i="2"/>
  <c r="J698" i="2"/>
  <c r="H698" i="2" s="1"/>
  <c r="K698" i="2"/>
  <c r="I699" i="2"/>
  <c r="J699" i="2"/>
  <c r="H699" i="2" s="1"/>
  <c r="K699" i="2"/>
  <c r="I700" i="2"/>
  <c r="J700" i="2"/>
  <c r="K700" i="2"/>
  <c r="I701" i="2"/>
  <c r="J701" i="2"/>
  <c r="K701" i="2"/>
  <c r="I702" i="2"/>
  <c r="J702" i="2"/>
  <c r="K702" i="2"/>
  <c r="I703" i="2"/>
  <c r="J703" i="2"/>
  <c r="K703" i="2"/>
  <c r="I704" i="2"/>
  <c r="J704" i="2"/>
  <c r="K704" i="2"/>
  <c r="I705" i="2"/>
  <c r="J705" i="2"/>
  <c r="K705" i="2"/>
  <c r="I706" i="2"/>
  <c r="J706" i="2"/>
  <c r="K706" i="2"/>
  <c r="I707" i="2"/>
  <c r="J707" i="2"/>
  <c r="K707" i="2"/>
  <c r="I708" i="2"/>
  <c r="J708" i="2"/>
  <c r="H708" i="2" s="1"/>
  <c r="K708" i="2"/>
  <c r="I709" i="2"/>
  <c r="J709" i="2"/>
  <c r="H709" i="2" s="1"/>
  <c r="K709" i="2"/>
  <c r="I710" i="2"/>
  <c r="J710" i="2"/>
  <c r="K710" i="2"/>
  <c r="I711" i="2"/>
  <c r="J711" i="2"/>
  <c r="K711" i="2"/>
  <c r="I712" i="2"/>
  <c r="J712" i="2"/>
  <c r="K712" i="2"/>
  <c r="I713" i="2"/>
  <c r="J713" i="2"/>
  <c r="K713" i="2"/>
  <c r="E144" i="36"/>
  <c r="F144" i="36"/>
  <c r="G144" i="36"/>
  <c r="E145" i="36"/>
  <c r="F145" i="36"/>
  <c r="G145" i="36"/>
  <c r="E146" i="36"/>
  <c r="F146" i="36"/>
  <c r="G146" i="36"/>
  <c r="E147" i="36"/>
  <c r="F147" i="36"/>
  <c r="G147" i="36"/>
  <c r="E148" i="36"/>
  <c r="F148" i="36"/>
  <c r="G148" i="36"/>
  <c r="E149" i="36"/>
  <c r="F149" i="36"/>
  <c r="G149" i="36"/>
  <c r="E150" i="36"/>
  <c r="F150" i="36"/>
  <c r="G150" i="36"/>
  <c r="E151" i="36"/>
  <c r="F151" i="36"/>
  <c r="F152" i="36"/>
  <c r="G152" i="36"/>
  <c r="E153" i="36"/>
  <c r="F153" i="36"/>
  <c r="G153" i="36"/>
  <c r="E154" i="36"/>
  <c r="F154" i="36"/>
  <c r="G154" i="36"/>
  <c r="E155" i="36"/>
  <c r="F155" i="36"/>
  <c r="G155" i="36"/>
  <c r="E156" i="36"/>
  <c r="F156" i="36"/>
  <c r="E157" i="36"/>
  <c r="F157" i="36"/>
  <c r="G157" i="36"/>
  <c r="E158" i="36"/>
  <c r="F158" i="36"/>
  <c r="G158" i="36"/>
  <c r="E159" i="36"/>
  <c r="F159" i="36"/>
  <c r="G159" i="36"/>
  <c r="E160" i="36"/>
  <c r="F160" i="36"/>
  <c r="G160" i="36"/>
  <c r="E161" i="36"/>
  <c r="F161" i="36"/>
  <c r="G161" i="36"/>
  <c r="E162" i="36"/>
  <c r="F162" i="36"/>
  <c r="G162" i="36"/>
  <c r="E163" i="36"/>
  <c r="F163" i="36"/>
  <c r="G163" i="36"/>
  <c r="E164" i="36"/>
  <c r="F164" i="36"/>
  <c r="G164" i="36"/>
  <c r="E165" i="36"/>
  <c r="F165" i="36"/>
  <c r="E166" i="36"/>
  <c r="F166" i="36"/>
  <c r="E167" i="36"/>
  <c r="F167" i="36"/>
  <c r="E168" i="36"/>
  <c r="F168" i="36"/>
  <c r="G168" i="36"/>
  <c r="E169" i="36"/>
  <c r="F169" i="36"/>
  <c r="G169" i="36"/>
  <c r="F170" i="36"/>
  <c r="G170" i="36"/>
  <c r="E171" i="36"/>
  <c r="F171" i="36"/>
  <c r="G171" i="36"/>
  <c r="E172" i="36"/>
  <c r="F172" i="36"/>
  <c r="G172" i="36"/>
  <c r="E173" i="36"/>
  <c r="F173" i="36"/>
  <c r="G173" i="36"/>
  <c r="F174" i="36"/>
  <c r="G174" i="36"/>
  <c r="E175" i="36"/>
  <c r="F175" i="36"/>
  <c r="G175" i="36"/>
  <c r="E176" i="36"/>
  <c r="F176" i="36"/>
  <c r="G176" i="36"/>
  <c r="E177" i="36"/>
  <c r="F177" i="36"/>
  <c r="G177" i="36"/>
  <c r="E178" i="36"/>
  <c r="F178" i="36"/>
  <c r="G178" i="36"/>
  <c r="E179" i="36"/>
  <c r="F179" i="36"/>
  <c r="G179" i="36"/>
  <c r="E180" i="36"/>
  <c r="F180" i="36"/>
  <c r="G180" i="36"/>
  <c r="E181" i="36"/>
  <c r="F181" i="36"/>
  <c r="G181" i="36"/>
  <c r="E182" i="36"/>
  <c r="F182" i="36"/>
  <c r="G182" i="36"/>
  <c r="E183" i="36"/>
  <c r="F183" i="36"/>
  <c r="G183" i="36"/>
  <c r="E184" i="36"/>
  <c r="F184" i="36"/>
  <c r="G184" i="36"/>
  <c r="E185" i="36"/>
  <c r="F185" i="36"/>
  <c r="G185" i="36"/>
  <c r="E186" i="36"/>
  <c r="F186" i="36"/>
  <c r="G186" i="36"/>
  <c r="E187" i="36"/>
  <c r="F187" i="36"/>
  <c r="G187" i="36"/>
  <c r="E188" i="36"/>
  <c r="F188" i="36"/>
  <c r="G188" i="36"/>
  <c r="E189" i="36"/>
  <c r="F189" i="36"/>
  <c r="G189" i="36"/>
  <c r="E190" i="36"/>
  <c r="F190" i="36"/>
  <c r="G190" i="36"/>
  <c r="E191" i="36"/>
  <c r="F191" i="36"/>
  <c r="G191" i="36"/>
  <c r="F192" i="36"/>
  <c r="G192" i="36"/>
  <c r="E193" i="36"/>
  <c r="F193" i="36"/>
  <c r="G193" i="36"/>
  <c r="E194" i="36"/>
  <c r="F194" i="36"/>
  <c r="F195" i="36"/>
  <c r="F196" i="36"/>
  <c r="F197" i="36"/>
  <c r="G197" i="36"/>
  <c r="F198" i="36"/>
  <c r="F199" i="36"/>
  <c r="G199" i="36"/>
  <c r="F200" i="36"/>
  <c r="G200" i="36"/>
  <c r="F201" i="36"/>
  <c r="G201" i="36"/>
  <c r="F202" i="36"/>
  <c r="G202" i="36"/>
  <c r="F203" i="36"/>
  <c r="G203" i="36"/>
  <c r="F204" i="36"/>
  <c r="G204" i="36"/>
  <c r="F205" i="36"/>
  <c r="G205" i="36"/>
  <c r="F206" i="36"/>
  <c r="G206" i="36"/>
  <c r="F207" i="36"/>
  <c r="G207" i="36"/>
  <c r="F208" i="36"/>
  <c r="G208" i="36"/>
  <c r="F209" i="36"/>
  <c r="G209" i="36"/>
  <c r="F210" i="36"/>
  <c r="G210" i="36"/>
  <c r="F211" i="36"/>
  <c r="G211" i="36"/>
  <c r="F212" i="36"/>
  <c r="G212" i="36"/>
  <c r="F213" i="36"/>
  <c r="G213" i="36"/>
  <c r="F214" i="36"/>
  <c r="G214" i="36"/>
  <c r="F215" i="36"/>
  <c r="G215" i="36"/>
  <c r="F216" i="36"/>
  <c r="F217" i="36"/>
  <c r="F218" i="36"/>
  <c r="G218" i="36"/>
  <c r="F219" i="36"/>
  <c r="G219" i="36"/>
  <c r="F220" i="36"/>
  <c r="G220" i="36"/>
  <c r="F221" i="36"/>
  <c r="G221" i="36"/>
  <c r="F222" i="36"/>
  <c r="G222" i="36"/>
  <c r="F223" i="36"/>
  <c r="G223" i="36"/>
  <c r="F224" i="36"/>
  <c r="G224" i="36"/>
  <c r="F225" i="36"/>
  <c r="G225" i="36"/>
  <c r="F226" i="36"/>
  <c r="G226" i="36"/>
  <c r="F227" i="36"/>
  <c r="G227" i="36"/>
  <c r="F228" i="36"/>
  <c r="G228" i="36"/>
  <c r="F229" i="36"/>
  <c r="G229" i="36"/>
  <c r="F230" i="36"/>
  <c r="G230" i="36"/>
  <c r="F231" i="36"/>
  <c r="G231" i="36"/>
  <c r="F232" i="36"/>
  <c r="G232" i="36"/>
  <c r="F233" i="36"/>
  <c r="G233" i="36"/>
  <c r="F234" i="36"/>
  <c r="G234" i="36"/>
  <c r="F235" i="36"/>
  <c r="G235" i="36"/>
  <c r="F236" i="36"/>
  <c r="G236" i="36"/>
  <c r="F237" i="36"/>
  <c r="G237" i="36"/>
  <c r="F238" i="36"/>
  <c r="G238" i="36"/>
  <c r="F239" i="36"/>
  <c r="G239" i="36"/>
  <c r="F240" i="36"/>
  <c r="F241" i="36"/>
  <c r="F242" i="36"/>
  <c r="F243" i="36"/>
  <c r="F244" i="36"/>
  <c r="G244" i="36"/>
  <c r="F245" i="36"/>
  <c r="G245" i="36"/>
  <c r="F246" i="36"/>
  <c r="G246" i="36"/>
  <c r="F247" i="36"/>
  <c r="F248" i="36"/>
  <c r="F249" i="36"/>
  <c r="G249" i="36"/>
  <c r="F250" i="36"/>
  <c r="F251" i="36"/>
  <c r="F252" i="36"/>
  <c r="G252" i="36"/>
  <c r="F253" i="36"/>
  <c r="G253" i="36"/>
  <c r="F254" i="36"/>
  <c r="G254" i="36"/>
  <c r="F255" i="36"/>
  <c r="G255" i="36"/>
  <c r="F256" i="36"/>
  <c r="G256" i="36"/>
  <c r="F257" i="36"/>
  <c r="G257" i="36"/>
  <c r="F258" i="36"/>
  <c r="G258" i="36"/>
  <c r="F259" i="36"/>
  <c r="G259" i="36"/>
  <c r="F260" i="36"/>
  <c r="F261" i="36"/>
  <c r="G261" i="36"/>
  <c r="F262" i="36"/>
  <c r="G262" i="36"/>
  <c r="E29" i="36"/>
  <c r="F29" i="36"/>
  <c r="E30" i="36"/>
  <c r="F30" i="36"/>
  <c r="E31" i="36"/>
  <c r="F31" i="36"/>
  <c r="E32" i="36"/>
  <c r="F32" i="36"/>
  <c r="E33" i="36"/>
  <c r="F33" i="36"/>
  <c r="E34" i="36"/>
  <c r="F34" i="36"/>
  <c r="E35" i="36"/>
  <c r="F35" i="36"/>
  <c r="E36" i="36"/>
  <c r="F36" i="36"/>
  <c r="E37" i="36"/>
  <c r="F37" i="36"/>
  <c r="E38" i="36"/>
  <c r="F38" i="36"/>
  <c r="E39" i="36"/>
  <c r="F39" i="36"/>
  <c r="E40" i="36"/>
  <c r="F40" i="36"/>
  <c r="E41" i="36"/>
  <c r="F41" i="36"/>
  <c r="E42" i="36"/>
  <c r="F42" i="36"/>
  <c r="E43" i="36"/>
  <c r="F43" i="36"/>
  <c r="E44" i="36"/>
  <c r="F44" i="36"/>
  <c r="E45" i="36"/>
  <c r="F45" i="36"/>
  <c r="E46" i="36"/>
  <c r="F46" i="36"/>
  <c r="E47" i="36"/>
  <c r="F47" i="36"/>
  <c r="E48" i="36"/>
  <c r="F48" i="36"/>
  <c r="E49" i="36"/>
  <c r="F49" i="36"/>
  <c r="E50" i="36"/>
  <c r="F50" i="36"/>
  <c r="E51" i="36"/>
  <c r="F51" i="36"/>
  <c r="E52" i="36"/>
  <c r="F52" i="36"/>
  <c r="E53" i="36"/>
  <c r="F53" i="36"/>
  <c r="E54" i="36"/>
  <c r="F54" i="36"/>
  <c r="E55" i="36"/>
  <c r="F55" i="36"/>
  <c r="E56" i="36"/>
  <c r="F56" i="36"/>
  <c r="E57" i="36"/>
  <c r="F57" i="36"/>
  <c r="E58" i="36"/>
  <c r="F58" i="36"/>
  <c r="E59" i="36"/>
  <c r="F59" i="36"/>
  <c r="E60" i="36"/>
  <c r="F60" i="36"/>
  <c r="E61" i="36"/>
  <c r="F61" i="36"/>
  <c r="E62" i="36"/>
  <c r="F62" i="36"/>
  <c r="E63" i="36"/>
  <c r="F63" i="36"/>
  <c r="E64" i="36"/>
  <c r="F64" i="36"/>
  <c r="E65" i="36"/>
  <c r="F65" i="36"/>
  <c r="E66" i="36"/>
  <c r="F66" i="36"/>
  <c r="E67" i="36"/>
  <c r="F67" i="36"/>
  <c r="E68" i="36"/>
  <c r="F68" i="36"/>
  <c r="E69" i="36"/>
  <c r="F69" i="36"/>
  <c r="E70" i="36"/>
  <c r="F70" i="36"/>
  <c r="E71" i="36"/>
  <c r="F71" i="36"/>
  <c r="E72" i="36"/>
  <c r="F72" i="36"/>
  <c r="E73" i="36"/>
  <c r="F73" i="36"/>
  <c r="E74" i="36"/>
  <c r="F74" i="36"/>
  <c r="E75" i="36"/>
  <c r="F75" i="36"/>
  <c r="E76" i="36"/>
  <c r="F76" i="36"/>
  <c r="E77" i="36"/>
  <c r="F77" i="36"/>
  <c r="E78" i="36"/>
  <c r="F78" i="36"/>
  <c r="E79" i="36"/>
  <c r="F79" i="36"/>
  <c r="E80" i="36"/>
  <c r="F80" i="36"/>
  <c r="E81" i="36"/>
  <c r="F81" i="36"/>
  <c r="E82" i="36"/>
  <c r="F82" i="36"/>
  <c r="E83" i="36"/>
  <c r="F83" i="36"/>
  <c r="E84" i="36"/>
  <c r="F84" i="36"/>
  <c r="E85" i="36"/>
  <c r="F85" i="36"/>
  <c r="E86" i="36"/>
  <c r="F86" i="36"/>
  <c r="E87" i="36"/>
  <c r="F87" i="36"/>
  <c r="E88" i="36"/>
  <c r="F88" i="36"/>
  <c r="E89" i="36"/>
  <c r="F89" i="36"/>
  <c r="E90" i="36"/>
  <c r="F90" i="36"/>
  <c r="E91" i="36"/>
  <c r="F91" i="36"/>
  <c r="E92" i="36"/>
  <c r="F92" i="36"/>
  <c r="E93" i="36"/>
  <c r="F93" i="36"/>
  <c r="E94" i="36"/>
  <c r="F94" i="36"/>
  <c r="E95" i="36"/>
  <c r="F95" i="36"/>
  <c r="E96" i="36"/>
  <c r="F96" i="36"/>
  <c r="E97" i="36"/>
  <c r="F97" i="36"/>
  <c r="E98" i="36"/>
  <c r="F98" i="36"/>
  <c r="E99" i="36"/>
  <c r="F99" i="36"/>
  <c r="E100" i="36"/>
  <c r="F100" i="36"/>
  <c r="E101" i="36"/>
  <c r="F101" i="36"/>
  <c r="E102" i="36"/>
  <c r="F102" i="36"/>
  <c r="E103" i="36"/>
  <c r="F103" i="36"/>
  <c r="E104" i="36"/>
  <c r="F104" i="36"/>
  <c r="E105" i="36"/>
  <c r="F105" i="36"/>
  <c r="E106" i="36"/>
  <c r="F106" i="36"/>
  <c r="E107" i="36"/>
  <c r="F107" i="36"/>
  <c r="E108" i="36"/>
  <c r="F108" i="36"/>
  <c r="E109" i="36"/>
  <c r="F109" i="36"/>
  <c r="E110" i="36"/>
  <c r="F110" i="36"/>
  <c r="E111" i="36"/>
  <c r="F111" i="36"/>
  <c r="E112" i="36"/>
  <c r="F112" i="36"/>
  <c r="E113" i="36"/>
  <c r="F113" i="36"/>
  <c r="E114" i="36"/>
  <c r="F114" i="36"/>
  <c r="E115" i="36"/>
  <c r="F115" i="36"/>
  <c r="E116" i="36"/>
  <c r="F116" i="36"/>
  <c r="E117" i="36"/>
  <c r="F117" i="36"/>
  <c r="E118" i="36"/>
  <c r="F118" i="36"/>
  <c r="E119" i="36"/>
  <c r="F119" i="36"/>
  <c r="E120" i="36"/>
  <c r="F120" i="36"/>
  <c r="E121" i="36"/>
  <c r="F121" i="36"/>
  <c r="E122" i="36"/>
  <c r="F122" i="36"/>
  <c r="E123" i="36"/>
  <c r="F123" i="36"/>
  <c r="E124" i="36"/>
  <c r="F124" i="36"/>
  <c r="E125" i="36"/>
  <c r="F125" i="36"/>
  <c r="E126" i="36"/>
  <c r="F126" i="36"/>
  <c r="E127" i="36"/>
  <c r="F127" i="36"/>
  <c r="E128" i="36"/>
  <c r="F128" i="36"/>
  <c r="E129" i="36"/>
  <c r="F129" i="36"/>
  <c r="E130" i="36"/>
  <c r="F130" i="36"/>
  <c r="E131" i="36"/>
  <c r="F131" i="36"/>
  <c r="E132" i="36"/>
  <c r="F132" i="36"/>
  <c r="E133" i="36"/>
  <c r="F133" i="36"/>
  <c r="E134" i="36"/>
  <c r="F134" i="36"/>
  <c r="E135" i="36"/>
  <c r="F135" i="36"/>
  <c r="E136" i="36"/>
  <c r="F136" i="36"/>
  <c r="E137" i="36"/>
  <c r="F137" i="36"/>
  <c r="E138" i="36"/>
  <c r="F138" i="36"/>
  <c r="E139" i="36"/>
  <c r="F139" i="36"/>
  <c r="E140" i="36"/>
  <c r="F140" i="36"/>
  <c r="E141" i="36"/>
  <c r="F141" i="36"/>
  <c r="E142" i="36"/>
  <c r="F142" i="36"/>
  <c r="E143" i="36"/>
  <c r="F143" i="36"/>
  <c r="E28" i="36"/>
  <c r="F28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04" i="36"/>
  <c r="G105" i="36"/>
  <c r="G106" i="36"/>
  <c r="G107" i="36"/>
  <c r="G108" i="36"/>
  <c r="G109" i="36"/>
  <c r="G110" i="36"/>
  <c r="G111" i="36"/>
  <c r="G112" i="36"/>
  <c r="G113" i="36"/>
  <c r="G114" i="36"/>
  <c r="G115" i="36"/>
  <c r="G116" i="36"/>
  <c r="G117" i="36"/>
  <c r="G118" i="36"/>
  <c r="G119" i="36"/>
  <c r="G120" i="36"/>
  <c r="G121" i="36"/>
  <c r="G122" i="36"/>
  <c r="G123" i="36"/>
  <c r="G124" i="36"/>
  <c r="G125" i="36"/>
  <c r="G126" i="36"/>
  <c r="G127" i="36"/>
  <c r="G128" i="36"/>
  <c r="G129" i="36"/>
  <c r="G130" i="36"/>
  <c r="G131" i="36"/>
  <c r="G132" i="36"/>
  <c r="G133" i="36"/>
  <c r="G134" i="36"/>
  <c r="G135" i="36"/>
  <c r="G136" i="36"/>
  <c r="G137" i="36"/>
  <c r="G138" i="36"/>
  <c r="G139" i="36"/>
  <c r="G140" i="36"/>
  <c r="G141" i="36"/>
  <c r="G142" i="36"/>
  <c r="G143" i="36"/>
  <c r="F2" i="36"/>
  <c r="G2" i="36"/>
  <c r="F3" i="36"/>
  <c r="G3" i="36"/>
  <c r="F4" i="36"/>
  <c r="G4" i="36"/>
  <c r="F5" i="36"/>
  <c r="G5" i="36"/>
  <c r="F6" i="36"/>
  <c r="G6" i="36"/>
  <c r="F7" i="36"/>
  <c r="G7" i="36"/>
  <c r="F8" i="36"/>
  <c r="G8" i="36"/>
  <c r="F9" i="36"/>
  <c r="G9" i="36"/>
  <c r="F10" i="36"/>
  <c r="G10" i="36"/>
  <c r="F11" i="36"/>
  <c r="G11" i="36"/>
  <c r="F12" i="36"/>
  <c r="G12" i="36"/>
  <c r="F13" i="36"/>
  <c r="G13" i="36"/>
  <c r="F14" i="36"/>
  <c r="G14" i="36"/>
  <c r="F15" i="36"/>
  <c r="G15" i="36"/>
  <c r="F16" i="36"/>
  <c r="G16" i="36"/>
  <c r="F17" i="36"/>
  <c r="G17" i="36"/>
  <c r="G18" i="36"/>
  <c r="G19" i="36"/>
  <c r="G20" i="36"/>
  <c r="G21" i="36"/>
  <c r="G22" i="36"/>
  <c r="G23" i="36"/>
  <c r="G24" i="36"/>
  <c r="G25" i="36"/>
  <c r="G26" i="36"/>
  <c r="G27" i="36"/>
  <c r="E3" i="36"/>
  <c r="E4" i="36"/>
  <c r="E5" i="36"/>
  <c r="E6" i="36"/>
  <c r="E7" i="36"/>
  <c r="E8" i="36"/>
  <c r="E9" i="36"/>
  <c r="E10" i="36"/>
  <c r="E11" i="36"/>
  <c r="E12" i="36"/>
  <c r="E13" i="36"/>
  <c r="E15" i="36"/>
  <c r="E16" i="36"/>
  <c r="E17" i="36"/>
  <c r="E2" i="36"/>
  <c r="P3" i="35"/>
  <c r="Q3" i="35"/>
  <c r="R3" i="35"/>
  <c r="P4" i="35"/>
  <c r="Q4" i="35"/>
  <c r="R4" i="35"/>
  <c r="P5" i="35"/>
  <c r="Q5" i="35"/>
  <c r="R5" i="35"/>
  <c r="P6" i="35"/>
  <c r="Q6" i="35"/>
  <c r="R6" i="35"/>
  <c r="P7" i="35"/>
  <c r="Q7" i="35"/>
  <c r="R7" i="35"/>
  <c r="P8" i="35"/>
  <c r="Q8" i="35"/>
  <c r="R8" i="35"/>
  <c r="P9" i="35"/>
  <c r="Q9" i="35"/>
  <c r="R9" i="35"/>
  <c r="P10" i="35"/>
  <c r="Q10" i="35"/>
  <c r="R10" i="35"/>
  <c r="P11" i="35"/>
  <c r="Q11" i="35"/>
  <c r="R11" i="35"/>
  <c r="P12" i="35"/>
  <c r="Q12" i="35"/>
  <c r="R12" i="35"/>
  <c r="P13" i="35"/>
  <c r="Q13" i="35"/>
  <c r="R13" i="35"/>
  <c r="P14" i="35"/>
  <c r="Q14" i="35"/>
  <c r="R14" i="35"/>
  <c r="P15" i="35"/>
  <c r="Q15" i="35"/>
  <c r="R15" i="35"/>
  <c r="P16" i="35"/>
  <c r="Q16" i="35"/>
  <c r="R16" i="35"/>
  <c r="P17" i="35"/>
  <c r="Q17" i="35"/>
  <c r="R17" i="35"/>
  <c r="P18" i="35"/>
  <c r="Q18" i="35"/>
  <c r="R18" i="35"/>
  <c r="P19" i="35"/>
  <c r="Q19" i="35"/>
  <c r="R19" i="35"/>
  <c r="P20" i="35"/>
  <c r="Q20" i="35"/>
  <c r="R20" i="35"/>
  <c r="P21" i="35"/>
  <c r="Q21" i="35"/>
  <c r="R21" i="35"/>
  <c r="P22" i="35"/>
  <c r="Q22" i="35"/>
  <c r="R22" i="35"/>
  <c r="P23" i="35"/>
  <c r="Q23" i="35"/>
  <c r="R23" i="35"/>
  <c r="P24" i="35"/>
  <c r="Q24" i="35"/>
  <c r="R24" i="35"/>
  <c r="P25" i="35"/>
  <c r="Q25" i="35"/>
  <c r="R25" i="35"/>
  <c r="P26" i="35"/>
  <c r="Q26" i="35"/>
  <c r="R26" i="35"/>
  <c r="P27" i="35"/>
  <c r="Q27" i="35"/>
  <c r="R27" i="35"/>
  <c r="P28" i="35"/>
  <c r="Q28" i="35"/>
  <c r="R28" i="35"/>
  <c r="P29" i="35"/>
  <c r="Q29" i="35"/>
  <c r="R29" i="35"/>
  <c r="P30" i="35"/>
  <c r="Q30" i="35"/>
  <c r="R30" i="35"/>
  <c r="P31" i="35"/>
  <c r="Q31" i="35"/>
  <c r="R31" i="35"/>
  <c r="P32" i="35"/>
  <c r="Q32" i="35"/>
  <c r="R32" i="35"/>
  <c r="P33" i="35"/>
  <c r="Q33" i="35"/>
  <c r="R33" i="35"/>
  <c r="P34" i="35"/>
  <c r="Q34" i="35"/>
  <c r="R34" i="35"/>
  <c r="P35" i="35"/>
  <c r="Q35" i="35"/>
  <c r="R35" i="35"/>
  <c r="P36" i="35"/>
  <c r="Q36" i="35"/>
  <c r="R36" i="35"/>
  <c r="P37" i="35"/>
  <c r="Q37" i="35"/>
  <c r="R37" i="35"/>
  <c r="P38" i="35"/>
  <c r="Q38" i="35"/>
  <c r="R38" i="35"/>
  <c r="P39" i="35"/>
  <c r="Q39" i="35"/>
  <c r="R39" i="35"/>
  <c r="P40" i="35"/>
  <c r="Q40" i="35"/>
  <c r="R40" i="35"/>
  <c r="P41" i="35"/>
  <c r="Q41" i="35"/>
  <c r="R41" i="35"/>
  <c r="P42" i="35"/>
  <c r="Q42" i="35"/>
  <c r="R42" i="35"/>
  <c r="P43" i="35"/>
  <c r="Q43" i="35"/>
  <c r="R43" i="35"/>
  <c r="P44" i="35"/>
  <c r="Q44" i="35"/>
  <c r="R44" i="35"/>
  <c r="P45" i="35"/>
  <c r="Q45" i="35"/>
  <c r="R45" i="35"/>
  <c r="P46" i="35"/>
  <c r="Q46" i="35"/>
  <c r="R46" i="35"/>
  <c r="P47" i="35"/>
  <c r="Q47" i="35"/>
  <c r="R47" i="35"/>
  <c r="P48" i="35"/>
  <c r="Q48" i="35"/>
  <c r="R48" i="35"/>
  <c r="P49" i="35"/>
  <c r="Q49" i="35"/>
  <c r="R49" i="35"/>
  <c r="P50" i="35"/>
  <c r="Q50" i="35"/>
  <c r="R50" i="35"/>
  <c r="P51" i="35"/>
  <c r="Q51" i="35"/>
  <c r="R51" i="35"/>
  <c r="P52" i="35"/>
  <c r="Q52" i="35"/>
  <c r="R52" i="35"/>
  <c r="P53" i="35"/>
  <c r="Q53" i="35"/>
  <c r="R53" i="35"/>
  <c r="P54" i="35"/>
  <c r="Q54" i="35"/>
  <c r="R54" i="35"/>
  <c r="P55" i="35"/>
  <c r="Q55" i="35"/>
  <c r="R55" i="35"/>
  <c r="P56" i="35"/>
  <c r="Q56" i="35"/>
  <c r="R56" i="35"/>
  <c r="P57" i="35"/>
  <c r="Q57" i="35"/>
  <c r="R57" i="35"/>
  <c r="P58" i="35"/>
  <c r="Q58" i="35"/>
  <c r="R58" i="35"/>
  <c r="P59" i="35"/>
  <c r="Q59" i="35"/>
  <c r="R59" i="35"/>
  <c r="P60" i="35"/>
  <c r="Q60" i="35"/>
  <c r="R60" i="35"/>
  <c r="P61" i="35"/>
  <c r="Q61" i="35"/>
  <c r="R61" i="35"/>
  <c r="P62" i="35"/>
  <c r="Q62" i="35"/>
  <c r="R62" i="35"/>
  <c r="P63" i="35"/>
  <c r="Q63" i="35"/>
  <c r="R63" i="35"/>
  <c r="P64" i="35"/>
  <c r="Q64" i="35"/>
  <c r="R64" i="35"/>
  <c r="P65" i="35"/>
  <c r="Q65" i="35"/>
  <c r="R65" i="35"/>
  <c r="P66" i="35"/>
  <c r="Q66" i="35"/>
  <c r="R66" i="35"/>
  <c r="P67" i="35"/>
  <c r="Q67" i="35"/>
  <c r="R67" i="35"/>
  <c r="P68" i="35"/>
  <c r="Q68" i="35"/>
  <c r="R68" i="35"/>
  <c r="P69" i="35"/>
  <c r="Q69" i="35"/>
  <c r="R69" i="35"/>
  <c r="P70" i="35"/>
  <c r="Q70" i="35"/>
  <c r="R70" i="35"/>
  <c r="P71" i="35"/>
  <c r="Q71" i="35"/>
  <c r="R71" i="35"/>
  <c r="P72" i="35"/>
  <c r="Q72" i="35"/>
  <c r="R72" i="35"/>
  <c r="P73" i="35"/>
  <c r="Q73" i="35"/>
  <c r="R73" i="35"/>
  <c r="P74" i="35"/>
  <c r="Q74" i="35"/>
  <c r="R74" i="35"/>
  <c r="P75" i="35"/>
  <c r="Q75" i="35"/>
  <c r="R75" i="35"/>
  <c r="P76" i="35"/>
  <c r="Q76" i="35"/>
  <c r="R76" i="35"/>
  <c r="Q2" i="35"/>
  <c r="R2" i="35"/>
  <c r="P2" i="35"/>
  <c r="H3" i="35"/>
  <c r="H4" i="35"/>
  <c r="H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2" i="35"/>
  <c r="H706" i="2" l="1"/>
  <c r="H696" i="2"/>
  <c r="H711" i="2"/>
  <c r="H691" i="2"/>
  <c r="H713" i="2"/>
  <c r="H693" i="2"/>
  <c r="H705" i="2"/>
  <c r="H695" i="2"/>
  <c r="H710" i="2"/>
  <c r="H697" i="2"/>
  <c r="H690" i="2"/>
  <c r="H692" i="2"/>
  <c r="H703" i="2"/>
  <c r="H694" i="2"/>
  <c r="H702" i="2"/>
  <c r="H704" i="2"/>
  <c r="H701" i="2"/>
  <c r="H712" i="2"/>
  <c r="H707" i="2"/>
  <c r="H700" i="2"/>
  <c r="F2" i="33"/>
  <c r="G2" i="33"/>
  <c r="F3" i="33"/>
  <c r="G3" i="33"/>
  <c r="F4" i="33"/>
  <c r="G4" i="33"/>
  <c r="F5" i="33"/>
  <c r="G5" i="33"/>
  <c r="F6" i="33"/>
  <c r="G6" i="33"/>
  <c r="F7" i="33"/>
  <c r="G7" i="33"/>
  <c r="F8" i="33"/>
  <c r="G8" i="33"/>
  <c r="E4" i="33"/>
  <c r="E6" i="33"/>
  <c r="E7" i="33"/>
  <c r="E8" i="33"/>
  <c r="F3" i="32"/>
  <c r="F4" i="32"/>
  <c r="F5" i="32"/>
  <c r="F6" i="32"/>
  <c r="F2" i="32"/>
  <c r="E3" i="32"/>
  <c r="E4" i="32"/>
  <c r="E5" i="32"/>
  <c r="E6" i="32"/>
  <c r="E2" i="32"/>
  <c r="L3" i="31"/>
  <c r="L4" i="31"/>
  <c r="L5" i="31"/>
  <c r="L6" i="31"/>
  <c r="L7" i="31"/>
  <c r="L8" i="31"/>
  <c r="L9" i="31"/>
  <c r="L10" i="31"/>
  <c r="L11" i="31"/>
  <c r="L12" i="31"/>
  <c r="L2" i="31"/>
  <c r="E3" i="26"/>
  <c r="F3" i="26"/>
  <c r="G3" i="26"/>
  <c r="E4" i="26"/>
  <c r="F4" i="26"/>
  <c r="G4" i="26"/>
  <c r="E5" i="26"/>
  <c r="F5" i="26"/>
  <c r="G5" i="26"/>
  <c r="E6" i="26"/>
  <c r="F6" i="26"/>
  <c r="G6" i="26"/>
  <c r="E7" i="26"/>
  <c r="F7" i="26"/>
  <c r="G7" i="26"/>
  <c r="E8" i="26"/>
  <c r="F8" i="26"/>
  <c r="G8" i="26"/>
  <c r="E9" i="26"/>
  <c r="F9" i="26"/>
  <c r="G9" i="26"/>
  <c r="E10" i="26"/>
  <c r="F10" i="26"/>
  <c r="G10" i="26"/>
  <c r="E11" i="26"/>
  <c r="F11" i="26"/>
  <c r="G11" i="26"/>
  <c r="E12" i="26"/>
  <c r="F12" i="26"/>
  <c r="G12" i="26"/>
  <c r="E13" i="26"/>
  <c r="F13" i="26"/>
  <c r="G13" i="26"/>
  <c r="E14" i="26"/>
  <c r="F14" i="26"/>
  <c r="G14" i="26"/>
  <c r="E15" i="26"/>
  <c r="F15" i="26"/>
  <c r="G15" i="26"/>
  <c r="E16" i="26"/>
  <c r="F16" i="26"/>
  <c r="G16" i="26"/>
  <c r="E17" i="26"/>
  <c r="F17" i="26"/>
  <c r="G17" i="26"/>
  <c r="E18" i="26"/>
  <c r="F18" i="26"/>
  <c r="G18" i="26"/>
  <c r="E19" i="26"/>
  <c r="F19" i="26"/>
  <c r="G19" i="26"/>
  <c r="E20" i="26"/>
  <c r="F20" i="26"/>
  <c r="G20" i="26"/>
  <c r="E21" i="26"/>
  <c r="F21" i="26"/>
  <c r="G21" i="26"/>
  <c r="E22" i="26"/>
  <c r="F22" i="26"/>
  <c r="G22" i="26"/>
  <c r="E23" i="26"/>
  <c r="F23" i="26"/>
  <c r="G23" i="26"/>
  <c r="E24" i="26"/>
  <c r="F24" i="26"/>
  <c r="G24" i="26"/>
  <c r="E25" i="26"/>
  <c r="F25" i="26"/>
  <c r="G25" i="26"/>
  <c r="E26" i="26"/>
  <c r="F26" i="26"/>
  <c r="G26" i="26"/>
  <c r="E27" i="26"/>
  <c r="F27" i="26"/>
  <c r="G27" i="26"/>
  <c r="E28" i="26"/>
  <c r="F28" i="26"/>
  <c r="G28" i="26"/>
  <c r="E29" i="26"/>
  <c r="F29" i="26"/>
  <c r="G29" i="26"/>
  <c r="E30" i="26"/>
  <c r="F30" i="26"/>
  <c r="G30" i="26"/>
  <c r="E31" i="26"/>
  <c r="F31" i="26"/>
  <c r="G31" i="26"/>
  <c r="E32" i="26"/>
  <c r="F32" i="26"/>
  <c r="G32" i="26"/>
  <c r="E33" i="26"/>
  <c r="F33" i="26"/>
  <c r="G33" i="26"/>
  <c r="E34" i="26"/>
  <c r="F34" i="26"/>
  <c r="G34" i="26"/>
  <c r="E35" i="26"/>
  <c r="F35" i="26"/>
  <c r="G35" i="26"/>
  <c r="E36" i="26"/>
  <c r="F36" i="26"/>
  <c r="G36" i="26"/>
  <c r="E37" i="26"/>
  <c r="F37" i="26"/>
  <c r="G37" i="26"/>
  <c r="E38" i="26"/>
  <c r="F38" i="26"/>
  <c r="G38" i="26"/>
  <c r="E39" i="26"/>
  <c r="F39" i="26"/>
  <c r="G39" i="26"/>
  <c r="E40" i="26"/>
  <c r="F40" i="26"/>
  <c r="G40" i="26"/>
  <c r="E41" i="26"/>
  <c r="F41" i="26"/>
  <c r="G41" i="26"/>
  <c r="E42" i="26"/>
  <c r="F42" i="26"/>
  <c r="G42" i="26"/>
  <c r="E43" i="26"/>
  <c r="F43" i="26"/>
  <c r="G43" i="26"/>
  <c r="E44" i="26"/>
  <c r="F44" i="26"/>
  <c r="G44" i="26"/>
  <c r="E45" i="26"/>
  <c r="F45" i="26"/>
  <c r="G45" i="26"/>
  <c r="E46" i="26"/>
  <c r="F46" i="26"/>
  <c r="G46" i="26"/>
  <c r="E47" i="26"/>
  <c r="F47" i="26"/>
  <c r="G47" i="26"/>
  <c r="E48" i="26"/>
  <c r="F48" i="26"/>
  <c r="G48" i="26"/>
  <c r="E49" i="26"/>
  <c r="F49" i="26"/>
  <c r="G49" i="26"/>
  <c r="E50" i="26"/>
  <c r="F50" i="26"/>
  <c r="G50" i="26"/>
  <c r="E51" i="26"/>
  <c r="F51" i="26"/>
  <c r="G51" i="26"/>
  <c r="E52" i="26"/>
  <c r="F52" i="26"/>
  <c r="G52" i="26"/>
  <c r="E53" i="26"/>
  <c r="F53" i="26"/>
  <c r="G53" i="26"/>
  <c r="E54" i="26"/>
  <c r="F54" i="26"/>
  <c r="G54" i="26"/>
  <c r="E55" i="26"/>
  <c r="F55" i="26"/>
  <c r="G55" i="26"/>
  <c r="E56" i="26"/>
  <c r="F56" i="26"/>
  <c r="G56" i="26"/>
  <c r="E57" i="26"/>
  <c r="F57" i="26"/>
  <c r="G57" i="26"/>
  <c r="E58" i="26"/>
  <c r="F58" i="26"/>
  <c r="G58" i="26"/>
  <c r="E59" i="26"/>
  <c r="F59" i="26"/>
  <c r="G59" i="26"/>
  <c r="E60" i="26"/>
  <c r="F60" i="26"/>
  <c r="G60" i="26"/>
  <c r="E61" i="26"/>
  <c r="F61" i="26"/>
  <c r="G61" i="26"/>
  <c r="E62" i="26"/>
  <c r="F62" i="26"/>
  <c r="G62" i="26"/>
  <c r="E63" i="26"/>
  <c r="F63" i="26"/>
  <c r="G63" i="26"/>
  <c r="E64" i="26"/>
  <c r="F64" i="26"/>
  <c r="G64" i="26"/>
  <c r="E65" i="26"/>
  <c r="F65" i="26"/>
  <c r="G65" i="26"/>
  <c r="E66" i="26"/>
  <c r="F66" i="26"/>
  <c r="G66" i="26"/>
  <c r="E67" i="26"/>
  <c r="F67" i="26"/>
  <c r="G67" i="26"/>
  <c r="E68" i="26"/>
  <c r="F68" i="26"/>
  <c r="G68" i="26"/>
  <c r="E69" i="26"/>
  <c r="F69" i="26"/>
  <c r="G69" i="26"/>
  <c r="E70" i="26"/>
  <c r="F70" i="26"/>
  <c r="G70" i="26"/>
  <c r="E71" i="26"/>
  <c r="F71" i="26"/>
  <c r="G71" i="26"/>
  <c r="E72" i="26"/>
  <c r="F72" i="26"/>
  <c r="G72" i="26"/>
  <c r="E73" i="26"/>
  <c r="F73" i="26"/>
  <c r="G73" i="26"/>
  <c r="E74" i="26"/>
  <c r="F74" i="26"/>
  <c r="G74" i="26"/>
  <c r="E75" i="26"/>
  <c r="F75" i="26"/>
  <c r="G75" i="26"/>
  <c r="E76" i="26"/>
  <c r="F76" i="26"/>
  <c r="G76" i="26"/>
  <c r="E77" i="26"/>
  <c r="F77" i="26"/>
  <c r="G77" i="26"/>
  <c r="E78" i="26"/>
  <c r="F78" i="26"/>
  <c r="G78" i="26"/>
  <c r="E79" i="26"/>
  <c r="F79" i="26"/>
  <c r="G79" i="26"/>
  <c r="E80" i="26"/>
  <c r="F80" i="26"/>
  <c r="G80" i="26"/>
  <c r="E81" i="26"/>
  <c r="F81" i="26"/>
  <c r="G81" i="26"/>
  <c r="E82" i="26"/>
  <c r="F82" i="26"/>
  <c r="G82" i="26"/>
  <c r="E83" i="26"/>
  <c r="F83" i="26"/>
  <c r="G83" i="26"/>
  <c r="E84" i="26"/>
  <c r="F84" i="26"/>
  <c r="G84" i="26"/>
  <c r="E85" i="26"/>
  <c r="F85" i="26"/>
  <c r="G85" i="26"/>
  <c r="E86" i="26"/>
  <c r="F86" i="26"/>
  <c r="G86" i="26"/>
  <c r="E87" i="26"/>
  <c r="F87" i="26"/>
  <c r="G87" i="26"/>
  <c r="E88" i="26"/>
  <c r="F88" i="26"/>
  <c r="G88" i="26"/>
  <c r="F2" i="26"/>
  <c r="G2" i="26"/>
  <c r="E2" i="26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" i="25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" i="25"/>
  <c r="E3" i="21"/>
  <c r="F3" i="21"/>
  <c r="G3" i="21"/>
  <c r="E4" i="21"/>
  <c r="F4" i="21"/>
  <c r="G4" i="21"/>
  <c r="E5" i="21"/>
  <c r="F5" i="21"/>
  <c r="G5" i="21"/>
  <c r="E6" i="21"/>
  <c r="F6" i="21"/>
  <c r="G6" i="21"/>
  <c r="E7" i="21"/>
  <c r="F7" i="21"/>
  <c r="G7" i="21"/>
  <c r="E8" i="21"/>
  <c r="F8" i="21"/>
  <c r="G8" i="21"/>
  <c r="F2" i="21"/>
  <c r="G2" i="21"/>
  <c r="E2" i="21"/>
  <c r="G3" i="19" l="1"/>
  <c r="H3" i="19"/>
  <c r="I3" i="19"/>
  <c r="G4" i="19"/>
  <c r="H4" i="19"/>
  <c r="I4" i="19"/>
  <c r="G5" i="19"/>
  <c r="H5" i="19"/>
  <c r="I5" i="19"/>
  <c r="G6" i="19"/>
  <c r="H6" i="19"/>
  <c r="I6" i="19"/>
  <c r="G7" i="19"/>
  <c r="H7" i="19"/>
  <c r="I7" i="19"/>
  <c r="G8" i="19"/>
  <c r="H8" i="19"/>
  <c r="I8" i="19"/>
  <c r="G9" i="19"/>
  <c r="H9" i="19"/>
  <c r="I9" i="19"/>
  <c r="G10" i="19"/>
  <c r="H10" i="19"/>
  <c r="I10" i="19"/>
  <c r="G11" i="19"/>
  <c r="H11" i="19"/>
  <c r="I11" i="19"/>
  <c r="G12" i="19"/>
  <c r="H12" i="19"/>
  <c r="I12" i="19"/>
  <c r="G13" i="19"/>
  <c r="H13" i="19"/>
  <c r="I13" i="19"/>
  <c r="G14" i="19"/>
  <c r="H14" i="19"/>
  <c r="I14" i="19"/>
  <c r="G15" i="19"/>
  <c r="H15" i="19"/>
  <c r="I15" i="19"/>
  <c r="G16" i="19"/>
  <c r="H16" i="19"/>
  <c r="I16" i="19"/>
  <c r="G17" i="19"/>
  <c r="H17" i="19"/>
  <c r="I17" i="19"/>
  <c r="G18" i="19"/>
  <c r="H18" i="19"/>
  <c r="I18" i="19"/>
  <c r="G19" i="19"/>
  <c r="H19" i="19"/>
  <c r="I19" i="19"/>
  <c r="G20" i="19"/>
  <c r="H20" i="19"/>
  <c r="I20" i="19"/>
  <c r="G21" i="19"/>
  <c r="H21" i="19"/>
  <c r="I21" i="19"/>
  <c r="G22" i="19"/>
  <c r="H22" i="19"/>
  <c r="I22" i="19"/>
  <c r="G23" i="19"/>
  <c r="H23" i="19"/>
  <c r="I23" i="19"/>
  <c r="G24" i="19"/>
  <c r="H24" i="19"/>
  <c r="I24" i="19"/>
  <c r="G25" i="19"/>
  <c r="H25" i="19"/>
  <c r="I25" i="19"/>
  <c r="G26" i="19"/>
  <c r="H26" i="19"/>
  <c r="I26" i="19"/>
  <c r="G27" i="19"/>
  <c r="H27" i="19"/>
  <c r="I27" i="19"/>
  <c r="G28" i="19"/>
  <c r="H28" i="19"/>
  <c r="I28" i="19"/>
  <c r="G29" i="19"/>
  <c r="H29" i="19"/>
  <c r="I29" i="19"/>
  <c r="G30" i="19"/>
  <c r="H30" i="19"/>
  <c r="I30" i="19"/>
  <c r="G31" i="19"/>
  <c r="H31" i="19"/>
  <c r="I31" i="19"/>
  <c r="G32" i="19"/>
  <c r="H32" i="19"/>
  <c r="I32" i="19"/>
  <c r="G33" i="19"/>
  <c r="H33" i="19"/>
  <c r="I33" i="19"/>
  <c r="G34" i="19"/>
  <c r="H34" i="19"/>
  <c r="I34" i="19"/>
  <c r="G35" i="19"/>
  <c r="H35" i="19"/>
  <c r="I35" i="19"/>
  <c r="G36" i="19"/>
  <c r="H36" i="19"/>
  <c r="I36" i="19"/>
  <c r="I2" i="19"/>
  <c r="H2" i="19"/>
  <c r="G2" i="19"/>
  <c r="G3" i="18"/>
  <c r="H3" i="18"/>
  <c r="I3" i="18"/>
  <c r="G4" i="18"/>
  <c r="H4" i="18"/>
  <c r="I4" i="18"/>
  <c r="G5" i="18"/>
  <c r="H5" i="18"/>
  <c r="I5" i="18"/>
  <c r="G6" i="18"/>
  <c r="H6" i="18"/>
  <c r="I6" i="18"/>
  <c r="G7" i="18"/>
  <c r="H7" i="18"/>
  <c r="I7" i="18"/>
  <c r="G8" i="18"/>
  <c r="H8" i="18"/>
  <c r="I8" i="18"/>
  <c r="G9" i="18"/>
  <c r="H9" i="18"/>
  <c r="I9" i="18"/>
  <c r="G10" i="18"/>
  <c r="H10" i="18"/>
  <c r="I10" i="18"/>
  <c r="G11" i="18"/>
  <c r="H11" i="18"/>
  <c r="I11" i="18"/>
  <c r="G12" i="18"/>
  <c r="H12" i="18"/>
  <c r="I12" i="18"/>
  <c r="G13" i="18"/>
  <c r="H13" i="18"/>
  <c r="I13" i="18"/>
  <c r="G14" i="18"/>
  <c r="H14" i="18"/>
  <c r="I14" i="18"/>
  <c r="G15" i="18"/>
  <c r="H15" i="18"/>
  <c r="I15" i="18"/>
  <c r="G16" i="18"/>
  <c r="H16" i="18"/>
  <c r="I16" i="18"/>
  <c r="G17" i="18"/>
  <c r="H17" i="18"/>
  <c r="I17" i="18"/>
  <c r="G18" i="18"/>
  <c r="H18" i="18"/>
  <c r="I18" i="18"/>
  <c r="G19" i="18"/>
  <c r="H19" i="18"/>
  <c r="I19" i="18"/>
  <c r="G20" i="18"/>
  <c r="H20" i="18"/>
  <c r="I20" i="18"/>
  <c r="G21" i="18"/>
  <c r="H21" i="18"/>
  <c r="I21" i="18"/>
  <c r="G22" i="18"/>
  <c r="H22" i="18"/>
  <c r="I22" i="18"/>
  <c r="H23" i="18"/>
  <c r="G24" i="18"/>
  <c r="H24" i="18"/>
  <c r="H25" i="18"/>
  <c r="G26" i="18"/>
  <c r="I26" i="18"/>
  <c r="G27" i="18"/>
  <c r="H27" i="18"/>
  <c r="I27" i="18"/>
  <c r="G28" i="18"/>
  <c r="H28" i="18"/>
  <c r="I28" i="18"/>
  <c r="G29" i="18"/>
  <c r="H29" i="18"/>
  <c r="I29" i="18"/>
  <c r="G30" i="18"/>
  <c r="H30" i="18"/>
  <c r="I30" i="18"/>
  <c r="G31" i="18"/>
  <c r="H31" i="18"/>
  <c r="I31" i="18"/>
  <c r="G32" i="18"/>
  <c r="H32" i="18"/>
  <c r="I32" i="18"/>
  <c r="G33" i="18"/>
  <c r="H33" i="18"/>
  <c r="I33" i="18"/>
  <c r="G34" i="18"/>
  <c r="H34" i="18"/>
  <c r="I34" i="18"/>
  <c r="G35" i="18"/>
  <c r="H35" i="18"/>
  <c r="I35" i="18"/>
  <c r="G36" i="18"/>
  <c r="H36" i="18"/>
  <c r="I36" i="18"/>
  <c r="G37" i="18"/>
  <c r="H37" i="18"/>
  <c r="I37" i="18"/>
  <c r="G38" i="18"/>
  <c r="H38" i="18"/>
  <c r="I38" i="18"/>
  <c r="G39" i="18"/>
  <c r="H39" i="18"/>
  <c r="I39" i="18"/>
  <c r="G40" i="18"/>
  <c r="H40" i="18"/>
  <c r="I40" i="18"/>
  <c r="G41" i="18"/>
  <c r="H41" i="18"/>
  <c r="I41" i="18"/>
  <c r="G42" i="18"/>
  <c r="H42" i="18"/>
  <c r="I42" i="18"/>
  <c r="G43" i="18"/>
  <c r="H43" i="18"/>
  <c r="I43" i="18"/>
  <c r="G44" i="18"/>
  <c r="H44" i="18"/>
  <c r="I44" i="18"/>
  <c r="G45" i="18"/>
  <c r="H45" i="18"/>
  <c r="I45" i="18"/>
  <c r="G46" i="18"/>
  <c r="H46" i="18"/>
  <c r="I46" i="18"/>
  <c r="G47" i="18"/>
  <c r="H47" i="18"/>
  <c r="I47" i="18"/>
  <c r="G48" i="18"/>
  <c r="H48" i="18"/>
  <c r="I48" i="18"/>
  <c r="G49" i="18"/>
  <c r="H49" i="18"/>
  <c r="I49" i="18"/>
  <c r="G50" i="18"/>
  <c r="H50" i="18"/>
  <c r="I50" i="18"/>
  <c r="G51" i="18"/>
  <c r="H51" i="18"/>
  <c r="I51" i="18"/>
  <c r="G52" i="18"/>
  <c r="H52" i="18"/>
  <c r="I52" i="18"/>
  <c r="G53" i="18"/>
  <c r="H53" i="18"/>
  <c r="I53" i="18"/>
  <c r="G54" i="18"/>
  <c r="H54" i="18"/>
  <c r="I54" i="18"/>
  <c r="G55" i="18"/>
  <c r="H55" i="18"/>
  <c r="I55" i="18"/>
  <c r="G56" i="18"/>
  <c r="H56" i="18"/>
  <c r="I56" i="18"/>
  <c r="G57" i="18"/>
  <c r="H57" i="18"/>
  <c r="I57" i="18"/>
  <c r="G58" i="18"/>
  <c r="H58" i="18"/>
  <c r="I58" i="18"/>
  <c r="G59" i="18"/>
  <c r="H59" i="18"/>
  <c r="I59" i="18"/>
  <c r="G60" i="18"/>
  <c r="H60" i="18"/>
  <c r="I60" i="18"/>
  <c r="G61" i="18"/>
  <c r="H61" i="18"/>
  <c r="I61" i="18"/>
  <c r="H2" i="18"/>
  <c r="I2" i="18"/>
  <c r="G2" i="18"/>
  <c r="C3" i="18"/>
  <c r="D3" i="18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21" i="18"/>
  <c r="D21" i="18"/>
  <c r="C22" i="18"/>
  <c r="D22" i="18"/>
  <c r="C23" i="18"/>
  <c r="D23" i="18"/>
  <c r="C24" i="18"/>
  <c r="D24" i="18"/>
  <c r="C25" i="18"/>
  <c r="D25" i="18"/>
  <c r="C26" i="18"/>
  <c r="D26" i="18"/>
  <c r="C27" i="18"/>
  <c r="D27" i="18"/>
  <c r="C28" i="18"/>
  <c r="D28" i="18"/>
  <c r="C29" i="18"/>
  <c r="D29" i="18"/>
  <c r="C30" i="18"/>
  <c r="D30" i="18"/>
  <c r="C31" i="18"/>
  <c r="D31" i="18"/>
  <c r="C32" i="18"/>
  <c r="D32" i="18"/>
  <c r="C33" i="18"/>
  <c r="D33" i="18"/>
  <c r="C34" i="18"/>
  <c r="D34" i="18"/>
  <c r="C35" i="18"/>
  <c r="D35" i="18"/>
  <c r="C36" i="18"/>
  <c r="D36" i="18"/>
  <c r="C37" i="18"/>
  <c r="D37" i="18"/>
  <c r="C38" i="18"/>
  <c r="D38" i="18"/>
  <c r="C39" i="18"/>
  <c r="D39" i="18"/>
  <c r="C40" i="18"/>
  <c r="D40" i="18"/>
  <c r="C41" i="18"/>
  <c r="D41" i="18"/>
  <c r="C42" i="18"/>
  <c r="D42" i="18"/>
  <c r="C43" i="18"/>
  <c r="D43" i="18"/>
  <c r="C44" i="18"/>
  <c r="D44" i="18"/>
  <c r="C45" i="18"/>
  <c r="D45" i="18"/>
  <c r="C46" i="18"/>
  <c r="D46" i="18"/>
  <c r="C47" i="18"/>
  <c r="D47" i="18"/>
  <c r="C48" i="18"/>
  <c r="D48" i="18"/>
  <c r="C49" i="18"/>
  <c r="D49" i="18"/>
  <c r="C50" i="18"/>
  <c r="D50" i="18"/>
  <c r="C51" i="18"/>
  <c r="D51" i="18"/>
  <c r="C52" i="18"/>
  <c r="D52" i="18"/>
  <c r="C53" i="18"/>
  <c r="D53" i="18"/>
  <c r="C54" i="18"/>
  <c r="D54" i="18"/>
  <c r="C55" i="18"/>
  <c r="D55" i="18"/>
  <c r="C56" i="18"/>
  <c r="D56" i="18"/>
  <c r="C57" i="18"/>
  <c r="D57" i="18"/>
  <c r="C58" i="18"/>
  <c r="D58" i="18"/>
  <c r="C59" i="18"/>
  <c r="D59" i="18"/>
  <c r="C60" i="18"/>
  <c r="D60" i="18"/>
  <c r="C61" i="18"/>
  <c r="D61" i="18"/>
  <c r="D2" i="18"/>
  <c r="C2" i="18"/>
  <c r="F3" i="17"/>
  <c r="G3" i="17"/>
  <c r="H3" i="17"/>
  <c r="F4" i="17"/>
  <c r="G4" i="17"/>
  <c r="H4" i="17"/>
  <c r="F5" i="17"/>
  <c r="G5" i="17"/>
  <c r="H5" i="17"/>
  <c r="G2" i="17"/>
  <c r="H2" i="17"/>
  <c r="F2" i="17"/>
  <c r="G3" i="14"/>
  <c r="H3" i="14"/>
  <c r="G4" i="14"/>
  <c r="H4" i="14"/>
  <c r="G5" i="14"/>
  <c r="H5" i="14"/>
  <c r="G6" i="14"/>
  <c r="H6" i="14"/>
  <c r="G7" i="14"/>
  <c r="H7" i="14"/>
  <c r="G8" i="14"/>
  <c r="H8" i="14"/>
  <c r="G9" i="14"/>
  <c r="H9" i="14"/>
  <c r="G10" i="14"/>
  <c r="H10" i="14"/>
  <c r="G11" i="14"/>
  <c r="H11" i="14"/>
  <c r="G12" i="14"/>
  <c r="H12" i="14"/>
  <c r="G13" i="14"/>
  <c r="H13" i="14"/>
  <c r="G14" i="14"/>
  <c r="H14" i="14"/>
  <c r="G2" i="14"/>
  <c r="H2" i="14"/>
  <c r="I3" i="14"/>
  <c r="I4" i="14"/>
  <c r="I5" i="14"/>
  <c r="I6" i="14"/>
  <c r="I7" i="14"/>
  <c r="I8" i="14"/>
  <c r="I9" i="14"/>
  <c r="I10" i="14"/>
  <c r="I11" i="14"/>
  <c r="I12" i="14"/>
  <c r="I13" i="14"/>
  <c r="I14" i="14"/>
  <c r="I2" i="14"/>
  <c r="I2" i="11"/>
  <c r="J2" i="11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H3" i="11"/>
  <c r="H4" i="11"/>
  <c r="H5" i="11"/>
  <c r="H6" i="11"/>
  <c r="H7" i="11"/>
  <c r="H8" i="11"/>
  <c r="H9" i="11"/>
  <c r="H10" i="11"/>
  <c r="H11" i="11"/>
  <c r="H2" i="11"/>
  <c r="G3" i="11"/>
  <c r="G4" i="11"/>
  <c r="G5" i="11"/>
  <c r="G6" i="11"/>
  <c r="G7" i="11"/>
  <c r="G8" i="11"/>
  <c r="G9" i="11"/>
  <c r="G10" i="11"/>
  <c r="G11" i="11"/>
  <c r="G2" i="11"/>
  <c r="G3" i="24"/>
  <c r="H3" i="24"/>
  <c r="I3" i="24"/>
  <c r="G4" i="24"/>
  <c r="H4" i="24"/>
  <c r="I4" i="24"/>
  <c r="G5" i="24"/>
  <c r="H5" i="24"/>
  <c r="I5" i="24"/>
  <c r="G6" i="24"/>
  <c r="H6" i="24"/>
  <c r="I6" i="24"/>
  <c r="G7" i="24"/>
  <c r="H7" i="24"/>
  <c r="I7" i="24"/>
  <c r="G8" i="24"/>
  <c r="H8" i="24"/>
  <c r="I8" i="24"/>
  <c r="G9" i="24"/>
  <c r="H9" i="24"/>
  <c r="I9" i="24"/>
  <c r="G10" i="24"/>
  <c r="H10" i="24"/>
  <c r="I10" i="24"/>
  <c r="G11" i="24"/>
  <c r="H11" i="24"/>
  <c r="I11" i="24"/>
  <c r="G12" i="24"/>
  <c r="H12" i="24"/>
  <c r="I12" i="24"/>
  <c r="G13" i="24"/>
  <c r="H13" i="24"/>
  <c r="I13" i="24"/>
  <c r="G14" i="24"/>
  <c r="H14" i="24"/>
  <c r="I14" i="24"/>
  <c r="G15" i="24"/>
  <c r="H15" i="24"/>
  <c r="I15" i="24"/>
  <c r="G16" i="24"/>
  <c r="H16" i="24"/>
  <c r="I16" i="24"/>
  <c r="G17" i="24"/>
  <c r="H17" i="24"/>
  <c r="I17" i="24"/>
  <c r="G18" i="24"/>
  <c r="H18" i="24"/>
  <c r="I18" i="24"/>
  <c r="G19" i="24"/>
  <c r="H19" i="24"/>
  <c r="I19" i="24"/>
  <c r="G20" i="24"/>
  <c r="H20" i="24"/>
  <c r="I20" i="24"/>
  <c r="G21" i="24"/>
  <c r="H21" i="24"/>
  <c r="I21" i="24"/>
  <c r="G22" i="24"/>
  <c r="H22" i="24"/>
  <c r="I22" i="24"/>
  <c r="G23" i="24"/>
  <c r="H23" i="24"/>
  <c r="I23" i="24"/>
  <c r="G24" i="24"/>
  <c r="H24" i="24"/>
  <c r="I24" i="24"/>
  <c r="G25" i="24"/>
  <c r="H25" i="24"/>
  <c r="I25" i="24"/>
  <c r="H2" i="24"/>
  <c r="I2" i="24"/>
  <c r="G2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" i="24"/>
  <c r="D24" i="24"/>
  <c r="C24" i="24"/>
  <c r="D23" i="24"/>
  <c r="C23" i="24"/>
  <c r="D21" i="24"/>
  <c r="C21" i="24"/>
  <c r="C16" i="24"/>
  <c r="D16" i="24"/>
  <c r="C18" i="24"/>
  <c r="D18" i="24"/>
  <c r="C19" i="24"/>
  <c r="D19" i="24"/>
  <c r="D14" i="24"/>
  <c r="C14" i="24"/>
  <c r="D13" i="24"/>
  <c r="C13" i="24"/>
  <c r="D11" i="24"/>
  <c r="C11" i="24"/>
  <c r="D9" i="24"/>
  <c r="C9" i="24"/>
  <c r="D7" i="24"/>
  <c r="C7" i="24"/>
  <c r="D5" i="24"/>
  <c r="C5" i="24"/>
  <c r="D4" i="24"/>
  <c r="C4" i="24"/>
  <c r="D2" i="24"/>
  <c r="C2" i="24"/>
  <c r="G3" i="6"/>
  <c r="G4" i="6"/>
  <c r="G5" i="6"/>
  <c r="G6" i="6"/>
  <c r="G7" i="6"/>
  <c r="G8" i="6"/>
  <c r="G9" i="6"/>
  <c r="G10" i="6"/>
  <c r="G11" i="6"/>
  <c r="G12" i="6"/>
  <c r="G13" i="6"/>
  <c r="G2" i="6"/>
  <c r="H3" i="6"/>
  <c r="I3" i="6"/>
  <c r="J3" i="6"/>
  <c r="H4" i="6"/>
  <c r="I4" i="6"/>
  <c r="J4" i="6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I2" i="6"/>
  <c r="J2" i="6"/>
  <c r="H2" i="6"/>
  <c r="G3" i="5"/>
  <c r="H3" i="5"/>
  <c r="I3" i="5"/>
  <c r="G4" i="5"/>
  <c r="H4" i="5"/>
  <c r="I4" i="5"/>
  <c r="G5" i="5"/>
  <c r="H5" i="5"/>
  <c r="I5" i="5"/>
  <c r="G6" i="5"/>
  <c r="H6" i="5"/>
  <c r="I6" i="5"/>
  <c r="G7" i="5"/>
  <c r="H7" i="5"/>
  <c r="I7" i="5"/>
  <c r="G8" i="5"/>
  <c r="H8" i="5"/>
  <c r="I8" i="5"/>
  <c r="G9" i="5"/>
  <c r="H9" i="5"/>
  <c r="I9" i="5"/>
  <c r="G10" i="5"/>
  <c r="H10" i="5"/>
  <c r="I10" i="5"/>
  <c r="G11" i="5"/>
  <c r="H11" i="5"/>
  <c r="I11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G18" i="5"/>
  <c r="H18" i="5"/>
  <c r="I18" i="5"/>
  <c r="G19" i="5"/>
  <c r="H19" i="5"/>
  <c r="I19" i="5"/>
  <c r="G20" i="5"/>
  <c r="H20" i="5"/>
  <c r="I20" i="5"/>
  <c r="H2" i="5"/>
  <c r="I2" i="5"/>
  <c r="G2" i="5"/>
  <c r="D15" i="5" l="1"/>
  <c r="D14" i="5"/>
  <c r="H2" i="4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2" i="4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09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94" i="2"/>
  <c r="K95" i="2"/>
  <c r="H71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2" i="2"/>
  <c r="I391" i="2"/>
  <c r="J391" i="2"/>
  <c r="I392" i="2"/>
  <c r="J392" i="2"/>
  <c r="I393" i="2"/>
  <c r="J393" i="2"/>
  <c r="I394" i="2"/>
  <c r="J394" i="2"/>
  <c r="I395" i="2"/>
  <c r="J395" i="2"/>
  <c r="I396" i="2"/>
  <c r="J396" i="2"/>
  <c r="I397" i="2"/>
  <c r="J397" i="2"/>
  <c r="I398" i="2"/>
  <c r="J398" i="2"/>
  <c r="I399" i="2"/>
  <c r="J399" i="2"/>
  <c r="I400" i="2"/>
  <c r="J400" i="2"/>
  <c r="I401" i="2"/>
  <c r="J401" i="2"/>
  <c r="I402" i="2"/>
  <c r="J402" i="2"/>
  <c r="I403" i="2"/>
  <c r="J403" i="2"/>
  <c r="I404" i="2"/>
  <c r="J404" i="2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I412" i="2"/>
  <c r="J412" i="2"/>
  <c r="I413" i="2"/>
  <c r="J413" i="2"/>
  <c r="I414" i="2"/>
  <c r="J414" i="2"/>
  <c r="I415" i="2"/>
  <c r="J415" i="2"/>
  <c r="I416" i="2"/>
  <c r="J416" i="2"/>
  <c r="I417" i="2"/>
  <c r="J417" i="2"/>
  <c r="I418" i="2"/>
  <c r="J418" i="2"/>
  <c r="I419" i="2"/>
  <c r="J419" i="2"/>
  <c r="I420" i="2"/>
  <c r="J420" i="2"/>
  <c r="I421" i="2"/>
  <c r="J421" i="2"/>
  <c r="I422" i="2"/>
  <c r="J422" i="2"/>
  <c r="I423" i="2"/>
  <c r="J423" i="2"/>
  <c r="I424" i="2"/>
  <c r="J424" i="2"/>
  <c r="I425" i="2"/>
  <c r="J425" i="2"/>
  <c r="I426" i="2"/>
  <c r="J426" i="2"/>
  <c r="I427" i="2"/>
  <c r="J427" i="2"/>
  <c r="I428" i="2"/>
  <c r="J428" i="2"/>
  <c r="I429" i="2"/>
  <c r="J429" i="2"/>
  <c r="I430" i="2"/>
  <c r="J430" i="2"/>
  <c r="I431" i="2"/>
  <c r="J431" i="2"/>
  <c r="I432" i="2"/>
  <c r="J432" i="2"/>
  <c r="I433" i="2"/>
  <c r="J433" i="2"/>
  <c r="I434" i="2"/>
  <c r="J434" i="2"/>
  <c r="I435" i="2"/>
  <c r="J435" i="2"/>
  <c r="I436" i="2"/>
  <c r="J436" i="2"/>
  <c r="I437" i="2"/>
  <c r="J437" i="2"/>
  <c r="I438" i="2"/>
  <c r="J438" i="2"/>
  <c r="I439" i="2"/>
  <c r="J439" i="2"/>
  <c r="I440" i="2"/>
  <c r="J440" i="2"/>
  <c r="I441" i="2"/>
  <c r="J441" i="2"/>
  <c r="I442" i="2"/>
  <c r="J442" i="2"/>
  <c r="I443" i="2"/>
  <c r="J443" i="2"/>
  <c r="I444" i="2"/>
  <c r="J444" i="2"/>
  <c r="I445" i="2"/>
  <c r="J445" i="2"/>
  <c r="I446" i="2"/>
  <c r="J446" i="2"/>
  <c r="I447" i="2"/>
  <c r="J447" i="2"/>
  <c r="I448" i="2"/>
  <c r="J448" i="2"/>
  <c r="I449" i="2"/>
  <c r="J449" i="2"/>
  <c r="I450" i="2"/>
  <c r="J450" i="2"/>
  <c r="I451" i="2"/>
  <c r="J451" i="2"/>
  <c r="I452" i="2"/>
  <c r="J452" i="2"/>
  <c r="I453" i="2"/>
  <c r="J453" i="2"/>
  <c r="I454" i="2"/>
  <c r="J454" i="2"/>
  <c r="I455" i="2"/>
  <c r="J455" i="2"/>
  <c r="I456" i="2"/>
  <c r="J456" i="2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62" i="2"/>
  <c r="J562" i="2"/>
  <c r="I563" i="2"/>
  <c r="J563" i="2"/>
  <c r="I564" i="2"/>
  <c r="J564" i="2"/>
  <c r="I565" i="2"/>
  <c r="J565" i="2"/>
  <c r="I566" i="2"/>
  <c r="J566" i="2"/>
  <c r="I567" i="2"/>
  <c r="J567" i="2"/>
  <c r="I568" i="2"/>
  <c r="J568" i="2"/>
  <c r="I376" i="2"/>
  <c r="J376" i="2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I384" i="2"/>
  <c r="J384" i="2"/>
  <c r="I385" i="2"/>
  <c r="J385" i="2"/>
  <c r="I386" i="2"/>
  <c r="J386" i="2"/>
  <c r="I387" i="2"/>
  <c r="J387" i="2"/>
  <c r="I388" i="2"/>
  <c r="J388" i="2"/>
  <c r="I389" i="2"/>
  <c r="J389" i="2"/>
  <c r="I390" i="2"/>
  <c r="J390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6" i="2"/>
  <c r="J266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0" i="2"/>
  <c r="J290" i="2"/>
  <c r="I291" i="2"/>
  <c r="J291" i="2"/>
  <c r="I292" i="2"/>
  <c r="J292" i="2"/>
  <c r="I293" i="2"/>
  <c r="J293" i="2"/>
  <c r="I294" i="2"/>
  <c r="J294" i="2"/>
  <c r="I295" i="2"/>
  <c r="J295" i="2"/>
  <c r="I296" i="2"/>
  <c r="J296" i="2"/>
  <c r="I297" i="2"/>
  <c r="J297" i="2"/>
  <c r="I298" i="2"/>
  <c r="J298" i="2"/>
  <c r="I299" i="2"/>
  <c r="J299" i="2"/>
  <c r="I300" i="2"/>
  <c r="J300" i="2"/>
  <c r="I301" i="2"/>
  <c r="J301" i="2"/>
  <c r="I302" i="2"/>
  <c r="J302" i="2"/>
  <c r="I303" i="2"/>
  <c r="J303" i="2"/>
  <c r="I304" i="2"/>
  <c r="J304" i="2"/>
  <c r="I305" i="2"/>
  <c r="J305" i="2"/>
  <c r="I306" i="2"/>
  <c r="J306" i="2"/>
  <c r="I307" i="2"/>
  <c r="J307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I314" i="2"/>
  <c r="J314" i="2"/>
  <c r="I315" i="2"/>
  <c r="J315" i="2"/>
  <c r="I316" i="2"/>
  <c r="J316" i="2"/>
  <c r="I317" i="2"/>
  <c r="J317" i="2"/>
  <c r="I318" i="2"/>
  <c r="J318" i="2"/>
  <c r="I319" i="2"/>
  <c r="J319" i="2"/>
  <c r="I320" i="2"/>
  <c r="J320" i="2"/>
  <c r="I321" i="2"/>
  <c r="J321" i="2"/>
  <c r="I322" i="2"/>
  <c r="J322" i="2"/>
  <c r="I323" i="2"/>
  <c r="J323" i="2"/>
  <c r="I324" i="2"/>
  <c r="J324" i="2"/>
  <c r="I325" i="2"/>
  <c r="J325" i="2"/>
  <c r="I326" i="2"/>
  <c r="J326" i="2"/>
  <c r="I327" i="2"/>
  <c r="J327" i="2"/>
  <c r="I328" i="2"/>
  <c r="J328" i="2"/>
  <c r="I329" i="2"/>
  <c r="J329" i="2"/>
  <c r="I330" i="2"/>
  <c r="J330" i="2"/>
  <c r="I331" i="2"/>
  <c r="J331" i="2"/>
  <c r="I332" i="2"/>
  <c r="J332" i="2"/>
  <c r="I333" i="2"/>
  <c r="J333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2" i="2"/>
  <c r="J342" i="2"/>
  <c r="I343" i="2"/>
  <c r="J343" i="2"/>
  <c r="I344" i="2"/>
  <c r="J344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59" i="2"/>
  <c r="J359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I368" i="2"/>
  <c r="J368" i="2"/>
  <c r="I369" i="2"/>
  <c r="J369" i="2"/>
  <c r="I370" i="2"/>
  <c r="J370" i="2"/>
  <c r="I371" i="2"/>
  <c r="J371" i="2"/>
  <c r="I372" i="2"/>
  <c r="J372" i="2"/>
  <c r="I373" i="2"/>
  <c r="J373" i="2"/>
  <c r="I374" i="2"/>
  <c r="J374" i="2"/>
  <c r="I375" i="2"/>
  <c r="J375" i="2"/>
  <c r="I610" i="2"/>
  <c r="J610" i="2"/>
  <c r="I611" i="2"/>
  <c r="J611" i="2"/>
  <c r="I612" i="2"/>
  <c r="J612" i="2"/>
  <c r="I613" i="2"/>
  <c r="J613" i="2"/>
  <c r="I614" i="2"/>
  <c r="J614" i="2"/>
  <c r="I615" i="2"/>
  <c r="J615" i="2"/>
  <c r="I616" i="2"/>
  <c r="J616" i="2"/>
  <c r="I617" i="2"/>
  <c r="J617" i="2"/>
  <c r="I618" i="2"/>
  <c r="J618" i="2"/>
  <c r="I619" i="2"/>
  <c r="J619" i="2"/>
  <c r="I620" i="2"/>
  <c r="J620" i="2"/>
  <c r="I621" i="2"/>
  <c r="J621" i="2"/>
  <c r="I622" i="2"/>
  <c r="J622" i="2"/>
  <c r="I623" i="2"/>
  <c r="J623" i="2"/>
  <c r="I624" i="2"/>
  <c r="J624" i="2"/>
  <c r="I625" i="2"/>
  <c r="J625" i="2"/>
  <c r="I626" i="2"/>
  <c r="J626" i="2"/>
  <c r="I627" i="2"/>
  <c r="J627" i="2"/>
  <c r="I628" i="2"/>
  <c r="J628" i="2"/>
  <c r="I629" i="2"/>
  <c r="J629" i="2"/>
  <c r="I630" i="2"/>
  <c r="J630" i="2"/>
  <c r="I631" i="2"/>
  <c r="J631" i="2"/>
  <c r="I632" i="2"/>
  <c r="J632" i="2"/>
  <c r="I633" i="2"/>
  <c r="J633" i="2"/>
  <c r="I634" i="2"/>
  <c r="J634" i="2"/>
  <c r="I635" i="2"/>
  <c r="J635" i="2"/>
  <c r="I636" i="2"/>
  <c r="J636" i="2"/>
  <c r="I637" i="2"/>
  <c r="J637" i="2"/>
  <c r="I638" i="2"/>
  <c r="J638" i="2"/>
  <c r="I639" i="2"/>
  <c r="J639" i="2"/>
  <c r="I640" i="2"/>
  <c r="J640" i="2"/>
  <c r="I641" i="2"/>
  <c r="J641" i="2"/>
  <c r="I642" i="2"/>
  <c r="J642" i="2"/>
  <c r="I643" i="2"/>
  <c r="J643" i="2"/>
  <c r="I644" i="2"/>
  <c r="J644" i="2"/>
  <c r="I645" i="2"/>
  <c r="J645" i="2"/>
  <c r="I646" i="2"/>
  <c r="J646" i="2"/>
  <c r="I647" i="2"/>
  <c r="J647" i="2"/>
  <c r="I648" i="2"/>
  <c r="J648" i="2"/>
  <c r="I649" i="2"/>
  <c r="J649" i="2"/>
  <c r="I650" i="2"/>
  <c r="J650" i="2"/>
  <c r="I651" i="2"/>
  <c r="J651" i="2"/>
  <c r="I652" i="2"/>
  <c r="J652" i="2"/>
  <c r="I653" i="2"/>
  <c r="J653" i="2"/>
  <c r="I654" i="2"/>
  <c r="J654" i="2"/>
  <c r="I655" i="2"/>
  <c r="J655" i="2"/>
  <c r="I656" i="2"/>
  <c r="J656" i="2"/>
  <c r="I657" i="2"/>
  <c r="J657" i="2"/>
  <c r="I658" i="2"/>
  <c r="J658" i="2"/>
  <c r="I659" i="2"/>
  <c r="J659" i="2"/>
  <c r="I660" i="2"/>
  <c r="J660" i="2"/>
  <c r="I661" i="2"/>
  <c r="J661" i="2"/>
  <c r="I662" i="2"/>
  <c r="J662" i="2"/>
  <c r="I663" i="2"/>
  <c r="J663" i="2"/>
  <c r="I664" i="2"/>
  <c r="J664" i="2"/>
  <c r="I665" i="2"/>
  <c r="J665" i="2"/>
  <c r="I666" i="2"/>
  <c r="J666" i="2"/>
  <c r="I667" i="2"/>
  <c r="J667" i="2"/>
  <c r="I668" i="2"/>
  <c r="J668" i="2"/>
  <c r="I669" i="2"/>
  <c r="J669" i="2"/>
  <c r="I670" i="2"/>
  <c r="J670" i="2"/>
  <c r="I671" i="2"/>
  <c r="J671" i="2"/>
  <c r="I672" i="2"/>
  <c r="J672" i="2"/>
  <c r="I673" i="2"/>
  <c r="J673" i="2"/>
  <c r="I674" i="2"/>
  <c r="J674" i="2"/>
  <c r="I675" i="2"/>
  <c r="J675" i="2"/>
  <c r="I676" i="2"/>
  <c r="J676" i="2"/>
  <c r="I677" i="2"/>
  <c r="J677" i="2"/>
  <c r="I678" i="2"/>
  <c r="J678" i="2"/>
  <c r="I679" i="2"/>
  <c r="J679" i="2"/>
  <c r="I680" i="2"/>
  <c r="J680" i="2"/>
  <c r="I681" i="2"/>
  <c r="J681" i="2"/>
  <c r="I682" i="2"/>
  <c r="J682" i="2"/>
  <c r="I683" i="2"/>
  <c r="J683" i="2"/>
  <c r="I684" i="2"/>
  <c r="J684" i="2"/>
  <c r="I685" i="2"/>
  <c r="J685" i="2"/>
  <c r="I686" i="2"/>
  <c r="J686" i="2"/>
  <c r="I687" i="2"/>
  <c r="J687" i="2"/>
  <c r="I688" i="2"/>
  <c r="J688" i="2"/>
  <c r="I689" i="2"/>
  <c r="J689" i="2"/>
  <c r="J609" i="2"/>
  <c r="I609" i="2"/>
  <c r="H689" i="2" l="1"/>
  <c r="H684" i="2"/>
  <c r="H679" i="2"/>
  <c r="H674" i="2"/>
  <c r="H669" i="2"/>
  <c r="H664" i="2"/>
  <c r="H659" i="2"/>
  <c r="H654" i="2"/>
  <c r="H649" i="2"/>
  <c r="H644" i="2"/>
  <c r="H639" i="2"/>
  <c r="H634" i="2"/>
  <c r="H629" i="2"/>
  <c r="H624" i="2"/>
  <c r="H619" i="2"/>
  <c r="H614" i="2"/>
  <c r="H375" i="2"/>
  <c r="H370" i="2"/>
  <c r="H365" i="2"/>
  <c r="H360" i="2"/>
  <c r="H355" i="2"/>
  <c r="H350" i="2"/>
  <c r="H345" i="2"/>
  <c r="H340" i="2"/>
  <c r="H335" i="2"/>
  <c r="H330" i="2"/>
  <c r="H325" i="2"/>
  <c r="H320" i="2"/>
  <c r="H315" i="2"/>
  <c r="H310" i="2"/>
  <c r="H305" i="2"/>
  <c r="H300" i="2"/>
  <c r="H295" i="2"/>
  <c r="H290" i="2"/>
  <c r="H285" i="2"/>
  <c r="H280" i="2"/>
  <c r="H275" i="2"/>
  <c r="H270" i="2"/>
  <c r="H265" i="2"/>
  <c r="H260" i="2"/>
  <c r="H255" i="2"/>
  <c r="H250" i="2"/>
  <c r="H245" i="2"/>
  <c r="H240" i="2"/>
  <c r="H235" i="2"/>
  <c r="H230" i="2"/>
  <c r="H225" i="2"/>
  <c r="H220" i="2"/>
  <c r="H215" i="2"/>
  <c r="H210" i="2"/>
  <c r="H205" i="2"/>
  <c r="H200" i="2"/>
  <c r="H195" i="2"/>
  <c r="H190" i="2"/>
  <c r="H185" i="2"/>
  <c r="H180" i="2"/>
  <c r="H175" i="2"/>
  <c r="H170" i="2"/>
  <c r="H165" i="2"/>
  <c r="H160" i="2"/>
  <c r="H155" i="2"/>
  <c r="H150" i="2"/>
  <c r="H145" i="2"/>
  <c r="H140" i="2"/>
  <c r="H135" i="2"/>
  <c r="H130" i="2"/>
  <c r="H125" i="2"/>
  <c r="H120" i="2"/>
  <c r="H115" i="2"/>
  <c r="H623" i="2"/>
  <c r="H613" i="2"/>
  <c r="H633" i="2"/>
  <c r="H110" i="2"/>
  <c r="H105" i="2"/>
  <c r="H100" i="2"/>
  <c r="H95" i="2"/>
  <c r="H387" i="2"/>
  <c r="H382" i="2"/>
  <c r="H377" i="2"/>
  <c r="H565" i="2"/>
  <c r="H560" i="2"/>
  <c r="H555" i="2"/>
  <c r="H550" i="2"/>
  <c r="H545" i="2"/>
  <c r="H540" i="2"/>
  <c r="H535" i="2"/>
  <c r="H530" i="2"/>
  <c r="H525" i="2"/>
  <c r="H520" i="2"/>
  <c r="H515" i="2"/>
  <c r="H510" i="2"/>
  <c r="H505" i="2"/>
  <c r="H500" i="2"/>
  <c r="H495" i="2"/>
  <c r="H490" i="2"/>
  <c r="H485" i="2"/>
  <c r="H480" i="2"/>
  <c r="H475" i="2"/>
  <c r="H470" i="2"/>
  <c r="H465" i="2"/>
  <c r="H460" i="2"/>
  <c r="H455" i="2"/>
  <c r="H450" i="2"/>
  <c r="H445" i="2"/>
  <c r="H440" i="2"/>
  <c r="H435" i="2"/>
  <c r="H430" i="2"/>
  <c r="H425" i="2"/>
  <c r="H420" i="2"/>
  <c r="H415" i="2"/>
  <c r="H410" i="2"/>
  <c r="H405" i="2"/>
  <c r="H400" i="2"/>
  <c r="H395" i="2"/>
  <c r="H685" i="2"/>
  <c r="H680" i="2"/>
  <c r="H675" i="2"/>
  <c r="H670" i="2"/>
  <c r="H665" i="2"/>
  <c r="H660" i="2"/>
  <c r="H655" i="2"/>
  <c r="H650" i="2"/>
  <c r="H645" i="2"/>
  <c r="H640" i="2"/>
  <c r="H635" i="2"/>
  <c r="H630" i="2"/>
  <c r="H625" i="2"/>
  <c r="H620" i="2"/>
  <c r="H615" i="2"/>
  <c r="H610" i="2"/>
  <c r="H371" i="2"/>
  <c r="H366" i="2"/>
  <c r="H361" i="2"/>
  <c r="H356" i="2"/>
  <c r="H351" i="2"/>
  <c r="H346" i="2"/>
  <c r="H341" i="2"/>
  <c r="H336" i="2"/>
  <c r="H331" i="2"/>
  <c r="H326" i="2"/>
  <c r="H321" i="2"/>
  <c r="H316" i="2"/>
  <c r="H311" i="2"/>
  <c r="H306" i="2"/>
  <c r="H301" i="2"/>
  <c r="H296" i="2"/>
  <c r="H291" i="2"/>
  <c r="H286" i="2"/>
  <c r="H281" i="2"/>
  <c r="H276" i="2"/>
  <c r="H271" i="2"/>
  <c r="H266" i="2"/>
  <c r="H261" i="2"/>
  <c r="H256" i="2"/>
  <c r="H251" i="2"/>
  <c r="H246" i="2"/>
  <c r="H241" i="2"/>
  <c r="H236" i="2"/>
  <c r="H231" i="2"/>
  <c r="H226" i="2"/>
  <c r="H221" i="2"/>
  <c r="H216" i="2"/>
  <c r="H211" i="2"/>
  <c r="H206" i="2"/>
  <c r="H201" i="2"/>
  <c r="H196" i="2"/>
  <c r="H191" i="2"/>
  <c r="H186" i="2"/>
  <c r="H181" i="2"/>
  <c r="H176" i="2"/>
  <c r="H171" i="2"/>
  <c r="H166" i="2"/>
  <c r="H161" i="2"/>
  <c r="H156" i="2"/>
  <c r="H151" i="2"/>
  <c r="H146" i="2"/>
  <c r="H141" i="2"/>
  <c r="H136" i="2"/>
  <c r="H131" i="2"/>
  <c r="H126" i="2"/>
  <c r="H121" i="2"/>
  <c r="H116" i="2"/>
  <c r="H111" i="2"/>
  <c r="H106" i="2"/>
  <c r="H101" i="2"/>
  <c r="H96" i="2"/>
  <c r="H388" i="2"/>
  <c r="H383" i="2"/>
  <c r="H378" i="2"/>
  <c r="H566" i="2"/>
  <c r="H561" i="2"/>
  <c r="H556" i="2"/>
  <c r="H551" i="2"/>
  <c r="H546" i="2"/>
  <c r="H541" i="2"/>
  <c r="H536" i="2"/>
  <c r="H531" i="2"/>
  <c r="H526" i="2"/>
  <c r="H521" i="2"/>
  <c r="H516" i="2"/>
  <c r="H511" i="2"/>
  <c r="H506" i="2"/>
  <c r="H501" i="2"/>
  <c r="H496" i="2"/>
  <c r="H491" i="2"/>
  <c r="H486" i="2"/>
  <c r="H481" i="2"/>
  <c r="H476" i="2"/>
  <c r="H471" i="2"/>
  <c r="H466" i="2"/>
  <c r="H461" i="2"/>
  <c r="H456" i="2"/>
  <c r="H451" i="2"/>
  <c r="H446" i="2"/>
  <c r="H441" i="2"/>
  <c r="H436" i="2"/>
  <c r="H431" i="2"/>
  <c r="H426" i="2"/>
  <c r="H421" i="2"/>
  <c r="H416" i="2"/>
  <c r="H411" i="2"/>
  <c r="H406" i="2"/>
  <c r="H401" i="2"/>
  <c r="H396" i="2"/>
  <c r="H391" i="2"/>
  <c r="H688" i="2"/>
  <c r="H683" i="2"/>
  <c r="H678" i="2"/>
  <c r="H673" i="2"/>
  <c r="H668" i="2"/>
  <c r="H663" i="2"/>
  <c r="H658" i="2"/>
  <c r="H653" i="2"/>
  <c r="H648" i="2"/>
  <c r="H643" i="2"/>
  <c r="H638" i="2"/>
  <c r="H628" i="2"/>
  <c r="H618" i="2"/>
  <c r="H374" i="2"/>
  <c r="H369" i="2"/>
  <c r="H364" i="2"/>
  <c r="H359" i="2"/>
  <c r="H354" i="2"/>
  <c r="H349" i="2"/>
  <c r="H344" i="2"/>
  <c r="H339" i="2"/>
  <c r="H334" i="2"/>
  <c r="H329" i="2"/>
  <c r="H324" i="2"/>
  <c r="H319" i="2"/>
  <c r="H632" i="2"/>
  <c r="H622" i="2"/>
  <c r="H612" i="2"/>
  <c r="H373" i="2"/>
  <c r="H363" i="2"/>
  <c r="H353" i="2"/>
  <c r="H343" i="2"/>
  <c r="H333" i="2"/>
  <c r="H323" i="2"/>
  <c r="H686" i="2"/>
  <c r="H681" i="2"/>
  <c r="H676" i="2"/>
  <c r="H671" i="2"/>
  <c r="H666" i="2"/>
  <c r="H661" i="2"/>
  <c r="H656" i="2"/>
  <c r="H651" i="2"/>
  <c r="H646" i="2"/>
  <c r="H641" i="2"/>
  <c r="H636" i="2"/>
  <c r="H631" i="2"/>
  <c r="H626" i="2"/>
  <c r="H621" i="2"/>
  <c r="H616" i="2"/>
  <c r="H611" i="2"/>
  <c r="H372" i="2"/>
  <c r="H367" i="2"/>
  <c r="H362" i="2"/>
  <c r="H357" i="2"/>
  <c r="H352" i="2"/>
  <c r="H347" i="2"/>
  <c r="H342" i="2"/>
  <c r="H337" i="2"/>
  <c r="H332" i="2"/>
  <c r="H327" i="2"/>
  <c r="H322" i="2"/>
  <c r="H317" i="2"/>
  <c r="H312" i="2"/>
  <c r="H307" i="2"/>
  <c r="H302" i="2"/>
  <c r="H297" i="2"/>
  <c r="H292" i="2"/>
  <c r="H287" i="2"/>
  <c r="H282" i="2"/>
  <c r="H277" i="2"/>
  <c r="H272" i="2"/>
  <c r="H267" i="2"/>
  <c r="H262" i="2"/>
  <c r="H257" i="2"/>
  <c r="H252" i="2"/>
  <c r="H247" i="2"/>
  <c r="H242" i="2"/>
  <c r="H237" i="2"/>
  <c r="H232" i="2"/>
  <c r="H227" i="2"/>
  <c r="H222" i="2"/>
  <c r="H217" i="2"/>
  <c r="H212" i="2"/>
  <c r="H207" i="2"/>
  <c r="H202" i="2"/>
  <c r="H197" i="2"/>
  <c r="H192" i="2"/>
  <c r="H187" i="2"/>
  <c r="H182" i="2"/>
  <c r="H177" i="2"/>
  <c r="H172" i="2"/>
  <c r="H167" i="2"/>
  <c r="H162" i="2"/>
  <c r="H157" i="2"/>
  <c r="H152" i="2"/>
  <c r="H147" i="2"/>
  <c r="H142" i="2"/>
  <c r="H137" i="2"/>
  <c r="H132" i="2"/>
  <c r="H127" i="2"/>
  <c r="H122" i="2"/>
  <c r="H117" i="2"/>
  <c r="H112" i="2"/>
  <c r="H107" i="2"/>
  <c r="H102" i="2"/>
  <c r="H97" i="2"/>
  <c r="H389" i="2"/>
  <c r="H384" i="2"/>
  <c r="H379" i="2"/>
  <c r="H567" i="2"/>
  <c r="H562" i="2"/>
  <c r="H557" i="2"/>
  <c r="H552" i="2"/>
  <c r="H547" i="2"/>
  <c r="H542" i="2"/>
  <c r="H537" i="2"/>
  <c r="H532" i="2"/>
  <c r="H527" i="2"/>
  <c r="H522" i="2"/>
  <c r="H517" i="2"/>
  <c r="H512" i="2"/>
  <c r="H507" i="2"/>
  <c r="H502" i="2"/>
  <c r="H497" i="2"/>
  <c r="H492" i="2"/>
  <c r="H487" i="2"/>
  <c r="H482" i="2"/>
  <c r="H477" i="2"/>
  <c r="H472" i="2"/>
  <c r="H467" i="2"/>
  <c r="H462" i="2"/>
  <c r="H457" i="2"/>
  <c r="H452" i="2"/>
  <c r="H447" i="2"/>
  <c r="H442" i="2"/>
  <c r="H437" i="2"/>
  <c r="H432" i="2"/>
  <c r="H427" i="2"/>
  <c r="H422" i="2"/>
  <c r="H417" i="2"/>
  <c r="H412" i="2"/>
  <c r="H407" i="2"/>
  <c r="H402" i="2"/>
  <c r="H397" i="2"/>
  <c r="H392" i="2"/>
  <c r="H313" i="2"/>
  <c r="H303" i="2"/>
  <c r="H293" i="2"/>
  <c r="H283" i="2"/>
  <c r="H273" i="2"/>
  <c r="H263" i="2"/>
  <c r="H253" i="2"/>
  <c r="H243" i="2"/>
  <c r="H233" i="2"/>
  <c r="H223" i="2"/>
  <c r="H213" i="2"/>
  <c r="H203" i="2"/>
  <c r="H193" i="2"/>
  <c r="H183" i="2"/>
  <c r="H173" i="2"/>
  <c r="H163" i="2"/>
  <c r="H153" i="2"/>
  <c r="H143" i="2"/>
  <c r="H133" i="2"/>
  <c r="H123" i="2"/>
  <c r="H113" i="2"/>
  <c r="H103" i="2"/>
  <c r="H563" i="2"/>
  <c r="H553" i="2"/>
  <c r="H543" i="2"/>
  <c r="H533" i="2"/>
  <c r="H523" i="2"/>
  <c r="H513" i="2"/>
  <c r="H503" i="2"/>
  <c r="H493" i="2"/>
  <c r="H483" i="2"/>
  <c r="H473" i="2"/>
  <c r="H463" i="2"/>
  <c r="H453" i="2"/>
  <c r="H443" i="2"/>
  <c r="H433" i="2"/>
  <c r="H423" i="2"/>
  <c r="H413" i="2"/>
  <c r="H403" i="2"/>
  <c r="H393" i="2"/>
  <c r="H314" i="2"/>
  <c r="H309" i="2"/>
  <c r="H304" i="2"/>
  <c r="H299" i="2"/>
  <c r="H294" i="2"/>
  <c r="H289" i="2"/>
  <c r="H284" i="2"/>
  <c r="H279" i="2"/>
  <c r="H274" i="2"/>
  <c r="H269" i="2"/>
  <c r="H264" i="2"/>
  <c r="H259" i="2"/>
  <c r="H254" i="2"/>
  <c r="H249" i="2"/>
  <c r="H244" i="2"/>
  <c r="H239" i="2"/>
  <c r="H234" i="2"/>
  <c r="H229" i="2"/>
  <c r="H224" i="2"/>
  <c r="H219" i="2"/>
  <c r="H214" i="2"/>
  <c r="H209" i="2"/>
  <c r="H204" i="2"/>
  <c r="H199" i="2"/>
  <c r="H194" i="2"/>
  <c r="H189" i="2"/>
  <c r="H184" i="2"/>
  <c r="H179" i="2"/>
  <c r="H174" i="2"/>
  <c r="H169" i="2"/>
  <c r="H164" i="2"/>
  <c r="H159" i="2"/>
  <c r="H154" i="2"/>
  <c r="H149" i="2"/>
  <c r="H144" i="2"/>
  <c r="H139" i="2"/>
  <c r="H134" i="2"/>
  <c r="H129" i="2"/>
  <c r="H124" i="2"/>
  <c r="H119" i="2"/>
  <c r="H114" i="2"/>
  <c r="H109" i="2"/>
  <c r="H104" i="2"/>
  <c r="H99" i="2"/>
  <c r="H94" i="2"/>
  <c r="H386" i="2"/>
  <c r="H381" i="2"/>
  <c r="H376" i="2"/>
  <c r="H564" i="2"/>
  <c r="H559" i="2"/>
  <c r="H554" i="2"/>
  <c r="H549" i="2"/>
  <c r="H544" i="2"/>
  <c r="H539" i="2"/>
  <c r="H534" i="2"/>
  <c r="H529" i="2"/>
  <c r="H524" i="2"/>
  <c r="H519" i="2"/>
  <c r="H514" i="2"/>
  <c r="H509" i="2"/>
  <c r="H504" i="2"/>
  <c r="H499" i="2"/>
  <c r="H494" i="2"/>
  <c r="H489" i="2"/>
  <c r="H484" i="2"/>
  <c r="H479" i="2"/>
  <c r="H474" i="2"/>
  <c r="H469" i="2"/>
  <c r="H464" i="2"/>
  <c r="H459" i="2"/>
  <c r="H454" i="2"/>
  <c r="H449" i="2"/>
  <c r="H444" i="2"/>
  <c r="H439" i="2"/>
  <c r="H434" i="2"/>
  <c r="H429" i="2"/>
  <c r="H424" i="2"/>
  <c r="H419" i="2"/>
  <c r="H414" i="2"/>
  <c r="H409" i="2"/>
  <c r="H404" i="2"/>
  <c r="H399" i="2"/>
  <c r="H394" i="2"/>
  <c r="H609" i="2"/>
  <c r="H687" i="2"/>
  <c r="H682" i="2"/>
  <c r="H677" i="2"/>
  <c r="H672" i="2"/>
  <c r="H667" i="2"/>
  <c r="H662" i="2"/>
  <c r="H657" i="2"/>
  <c r="H652" i="2"/>
  <c r="H647" i="2"/>
  <c r="H642" i="2"/>
  <c r="H637" i="2"/>
  <c r="H627" i="2"/>
  <c r="H617" i="2"/>
  <c r="H368" i="2"/>
  <c r="H358" i="2"/>
  <c r="H348" i="2"/>
  <c r="H338" i="2"/>
  <c r="H328" i="2"/>
  <c r="H318" i="2"/>
  <c r="H308" i="2"/>
  <c r="H298" i="2"/>
  <c r="H288" i="2"/>
  <c r="H278" i="2"/>
  <c r="H268" i="2"/>
  <c r="H258" i="2"/>
  <c r="H248" i="2"/>
  <c r="H238" i="2"/>
  <c r="H228" i="2"/>
  <c r="H218" i="2"/>
  <c r="H208" i="2"/>
  <c r="H198" i="2"/>
  <c r="H188" i="2"/>
  <c r="H178" i="2"/>
  <c r="H168" i="2"/>
  <c r="H158" i="2"/>
  <c r="H148" i="2"/>
  <c r="H138" i="2"/>
  <c r="H128" i="2"/>
  <c r="H118" i="2"/>
  <c r="H108" i="2"/>
  <c r="H98" i="2"/>
  <c r="H390" i="2"/>
  <c r="H385" i="2"/>
  <c r="H380" i="2"/>
  <c r="H568" i="2"/>
  <c r="H558" i="2"/>
  <c r="H548" i="2"/>
  <c r="H538" i="2"/>
  <c r="H528" i="2"/>
  <c r="H518" i="2"/>
  <c r="H508" i="2"/>
  <c r="H498" i="2"/>
  <c r="H488" i="2"/>
  <c r="H478" i="2"/>
  <c r="H468" i="2"/>
  <c r="H458" i="2"/>
  <c r="H448" i="2"/>
  <c r="H438" i="2"/>
  <c r="H428" i="2"/>
  <c r="H418" i="2"/>
  <c r="H408" i="2"/>
  <c r="H398" i="2"/>
  <c r="G38" i="3" l="1"/>
  <c r="I38" i="3"/>
  <c r="H38" i="3"/>
  <c r="I715" i="2"/>
  <c r="J715" i="2"/>
  <c r="I716" i="2"/>
  <c r="J716" i="2"/>
  <c r="I717" i="2"/>
  <c r="J717" i="2"/>
  <c r="I718" i="2"/>
  <c r="J718" i="2"/>
  <c r="I719" i="2"/>
  <c r="J719" i="2"/>
  <c r="I720" i="2"/>
  <c r="J720" i="2"/>
  <c r="H720" i="2" s="1"/>
  <c r="I721" i="2"/>
  <c r="J721" i="2"/>
  <c r="I722" i="2"/>
  <c r="J722" i="2"/>
  <c r="H722" i="2" s="1"/>
  <c r="I723" i="2"/>
  <c r="J723" i="2"/>
  <c r="I724" i="2"/>
  <c r="J724" i="2"/>
  <c r="I725" i="2"/>
  <c r="J725" i="2"/>
  <c r="H725" i="2" s="1"/>
  <c r="I726" i="2"/>
  <c r="J726" i="2"/>
  <c r="I727" i="2"/>
  <c r="J727" i="2"/>
  <c r="H727" i="2" s="1"/>
  <c r="I728" i="2"/>
  <c r="J728" i="2"/>
  <c r="I729" i="2"/>
  <c r="J729" i="2"/>
  <c r="I730" i="2"/>
  <c r="J730" i="2"/>
  <c r="H730" i="2" s="1"/>
  <c r="I731" i="2"/>
  <c r="J731" i="2"/>
  <c r="I732" i="2"/>
  <c r="J732" i="2"/>
  <c r="H732" i="2" s="1"/>
  <c r="I733" i="2"/>
  <c r="J733" i="2"/>
  <c r="I734" i="2"/>
  <c r="J734" i="2"/>
  <c r="I735" i="2"/>
  <c r="J735" i="2"/>
  <c r="H735" i="2" s="1"/>
  <c r="I736" i="2"/>
  <c r="J736" i="2"/>
  <c r="I737" i="2"/>
  <c r="J737" i="2"/>
  <c r="H737" i="2" s="1"/>
  <c r="I738" i="2"/>
  <c r="J738" i="2"/>
  <c r="I739" i="2"/>
  <c r="J739" i="2"/>
  <c r="I740" i="2"/>
  <c r="J740" i="2"/>
  <c r="H740" i="2" s="1"/>
  <c r="I741" i="2"/>
  <c r="J741" i="2"/>
  <c r="I742" i="2"/>
  <c r="J742" i="2"/>
  <c r="I743" i="2"/>
  <c r="J743" i="2"/>
  <c r="I744" i="2"/>
  <c r="J744" i="2"/>
  <c r="I745" i="2"/>
  <c r="J745" i="2"/>
  <c r="H745" i="2" s="1"/>
  <c r="I746" i="2"/>
  <c r="J746" i="2"/>
  <c r="I747" i="2"/>
  <c r="J747" i="2"/>
  <c r="H747" i="2" s="1"/>
  <c r="I748" i="2"/>
  <c r="J748" i="2"/>
  <c r="I749" i="2"/>
  <c r="J749" i="2"/>
  <c r="H742" i="2" l="1"/>
  <c r="H715" i="2"/>
  <c r="H717" i="2"/>
  <c r="H749" i="2"/>
  <c r="H744" i="2"/>
  <c r="H739" i="2"/>
  <c r="H734" i="2"/>
  <c r="H729" i="2"/>
  <c r="H724" i="2"/>
  <c r="H719" i="2"/>
  <c r="H746" i="2"/>
  <c r="H741" i="2"/>
  <c r="H736" i="2"/>
  <c r="H731" i="2"/>
  <c r="H726" i="2"/>
  <c r="H721" i="2"/>
  <c r="H716" i="2"/>
  <c r="H748" i="2"/>
  <c r="H743" i="2"/>
  <c r="H738" i="2"/>
  <c r="H733" i="2"/>
  <c r="H728" i="2"/>
  <c r="H723" i="2"/>
  <c r="H7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Centro Oceanográfico de A Coruña</author>
    <author>ab</author>
  </authors>
  <commentList>
    <comment ref="S1" authorId="0" shapeId="0" xr:uid="{966922ED-2487-B14F-961B-B09267F4A739}">
      <text>
        <r>
          <rPr>
            <b/>
            <sz val="8"/>
            <color rgb="FF000000"/>
            <rFont val="Tahoma"/>
            <family val="2"/>
          </rPr>
          <t>Centro Oceanográfico de A Coruña: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absorción bruta de NH4 sin filtr. estimadao a partir enriq. 15N inicial</t>
        </r>
      </text>
    </comment>
    <comment ref="T1" authorId="1" shapeId="0" xr:uid="{7684684A-05D9-8D42-AC8C-73AAD83BBA17}">
      <text>
        <r>
          <rPr>
            <b/>
            <sz val="8"/>
            <color rgb="FF000000"/>
            <rFont val="Tahoma"/>
            <family val="2"/>
          </rPr>
          <t>ab: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absorción bruta de Urea</t>
        </r>
      </text>
    </comment>
  </commentList>
</comments>
</file>

<file path=xl/sharedStrings.xml><?xml version="1.0" encoding="utf-8"?>
<sst xmlns="http://schemas.openxmlformats.org/spreadsheetml/2006/main" count="2721" uniqueCount="616">
  <si>
    <t>date</t>
  </si>
  <si>
    <t>depth</t>
  </si>
  <si>
    <t>NH4_OX_nmol N L-1 d-1</t>
    <phoneticPr fontId="2"/>
  </si>
  <si>
    <t>Urea_OX_nmol N L-1 d-1</t>
    <phoneticPr fontId="2"/>
  </si>
  <si>
    <t>lat</t>
    <phoneticPr fontId="2"/>
  </si>
  <si>
    <t>lon</t>
    <phoneticPr fontId="2"/>
  </si>
  <si>
    <t>Date</t>
  </si>
  <si>
    <t>nd</t>
  </si>
  <si>
    <t>NH4_Absolute_Uptake</t>
  </si>
  <si>
    <t>Urea_Absolute_Uptake</t>
  </si>
  <si>
    <t>2018-01-05T23:16Z</t>
  </si>
  <si>
    <t>2018-01-06T08:05Z</t>
  </si>
  <si>
    <t>2018-01-06T22:07Z</t>
  </si>
  <si>
    <t>2018-01-08T15:35Z</t>
  </si>
  <si>
    <t>2018-01-09T00:38Z</t>
  </si>
  <si>
    <t>2018-01-09T13:08Z</t>
  </si>
  <si>
    <t>2018-01-10T05:35Z</t>
  </si>
  <si>
    <t>2018-01-10T15:04Z</t>
  </si>
  <si>
    <t>2018-01-11T00:26Z</t>
  </si>
  <si>
    <t>2018-01-11T08:25Z</t>
  </si>
  <si>
    <t>2018-01-11T14:01Z</t>
  </si>
  <si>
    <t>2018-01-11T22:49Z</t>
  </si>
  <si>
    <t>2018-01-12T09:02Z</t>
  </si>
  <si>
    <t>2018-01-13T19:38Z</t>
  </si>
  <si>
    <t>2018-01-14T01:50Z</t>
  </si>
  <si>
    <t>2018-01-14T09:18Z</t>
  </si>
  <si>
    <t>2018-01-14T15:35Z</t>
  </si>
  <si>
    <t>2018-01-15T04:19Z</t>
  </si>
  <si>
    <t>2018-01-15T13:42Z</t>
  </si>
  <si>
    <t>2018-01-15T22:09Z</t>
  </si>
  <si>
    <t>2018-01-16T14:41Z</t>
  </si>
  <si>
    <t>2018-01-16T20:45Z</t>
  </si>
  <si>
    <t>2018-01-17T02:45Z</t>
  </si>
  <si>
    <t>2018-01-17T15:24Z</t>
  </si>
  <si>
    <t>2018-01-17T23:26Z</t>
  </si>
  <si>
    <t>2018-01-18T05:30Z</t>
  </si>
  <si>
    <t>2018-01-21T22:36Z</t>
  </si>
  <si>
    <t>2018-01-23T04:41Z</t>
  </si>
  <si>
    <t>2018-01-24T22:08Z</t>
  </si>
  <si>
    <t>2018-01-25T08:10Z</t>
  </si>
  <si>
    <t>2018-01-25T21:24Z</t>
  </si>
  <si>
    <t>2018-01-26T10:57Z</t>
  </si>
  <si>
    <t>2018-02-03T14:55Z</t>
  </si>
  <si>
    <t>2018-02-04T11:03Z</t>
  </si>
  <si>
    <t>nanogram atoms N/liter/day</t>
  </si>
  <si>
    <t>umol N/L h</t>
  </si>
  <si>
    <t>per hour</t>
  </si>
  <si>
    <t>nanomoles N/kg/hr</t>
  </si>
  <si>
    <t>micromoles N/liter/day</t>
  </si>
  <si>
    <t>1/h</t>
  </si>
  <si>
    <t>NH4/Urea</t>
    <phoneticPr fontId="2"/>
  </si>
  <si>
    <t>nanomoles per liter per hour (nmol N L-1 h-1)</t>
  </si>
  <si>
    <t>Urea_Absolute_Uptake [uM/H]</t>
    <phoneticPr fontId="2"/>
  </si>
  <si>
    <t>NH4_Absolute_Uptake [uM/H]</t>
    <phoneticPr fontId="2"/>
  </si>
  <si>
    <t>Station</t>
  </si>
  <si>
    <t>Depth (m)</t>
  </si>
  <si>
    <t>% I₀</t>
  </si>
  <si>
    <t>V urea × 100 / Total V</t>
  </si>
  <si>
    <t>Sta.</t>
  </si>
  <si>
    <t>Photosynthetic C assimilation (µg C liter⁻¹ day⁻¹)</t>
  </si>
  <si>
    <t>NH₄-N (ng-atom N liter⁻¹ day⁻¹)</t>
  </si>
  <si>
    <t>Urea-N (ng-atom N liter⁻¹ day⁻¹)</t>
  </si>
  <si>
    <t>NO₃-N (ng-atom N liter⁻¹ day⁻¹)</t>
  </si>
  <si>
    <t>Sum N assimilation (ng-atom N liter⁻¹ day⁻¹)</t>
  </si>
  <si>
    <t>-</t>
  </si>
  <si>
    <t>Cruise</t>
  </si>
  <si>
    <t>Conservative estimate of N-assimilation Ammonium (ng-at N l⁻¹ day⁻¹)</t>
  </si>
  <si>
    <t>Conservative estimate of N-assimilation Urea (ng-at N l⁻¹ day⁻¹)</t>
  </si>
  <si>
    <t>Adjusted estimate of N-assimilation Ammonium (ng-at N l⁻¹ day⁻¹)</t>
  </si>
  <si>
    <t>Adjusted estimate of N-assimilation Urea-N (ng-at N l⁻¹ day⁻¹)</t>
  </si>
  <si>
    <t>Adjusted estimate of N-assimilation Nitrate (potential) (ng-at N l⁻¹ day⁻¹)</t>
  </si>
  <si>
    <t>June, 1972</t>
  </si>
  <si>
    <t>Cato 1</t>
  </si>
  <si>
    <t>February, 1973</t>
  </si>
  <si>
    <t>Southtow 13</t>
  </si>
  <si>
    <t>June-July, 1973</t>
  </si>
  <si>
    <t>Tasaday 1</t>
  </si>
  <si>
    <t>December, 1973</t>
  </si>
  <si>
    <t>Climax 8</t>
  </si>
  <si>
    <t>February-March, 1974</t>
  </si>
  <si>
    <t>Tasaday 11</t>
  </si>
  <si>
    <t>Ze (m)</t>
  </si>
  <si>
    <t>pNO₃⁻ (mg-at. N m⁻² d⁻¹)</t>
  </si>
  <si>
    <t>pNH₄⁺ (mg-at. N m⁻² d⁻¹)</t>
  </si>
  <si>
    <t>p urea (mg-at. N m⁻² d⁻¹)</t>
  </si>
  <si>
    <t>pΣN (mg-at. N m⁻² d⁻¹)</t>
  </si>
  <si>
    <t>p urea / pΣN (%)</t>
  </si>
  <si>
    <t>29 Jul. 80</t>
  </si>
  <si>
    <t>31 Jul. 80</t>
  </si>
  <si>
    <t>1 Aug. 80</t>
  </si>
  <si>
    <t>3 Aug. 80</t>
  </si>
  <si>
    <t>5 Aug. 80</t>
  </si>
  <si>
    <t>7 Aug. 80</t>
  </si>
  <si>
    <t>9 Aug. 80</t>
  </si>
  <si>
    <t>12 Aug. 80</t>
  </si>
  <si>
    <t>14 Aug. 80</t>
  </si>
  <si>
    <t>21 Aug. 80</t>
  </si>
  <si>
    <t>25 Aug. 80</t>
  </si>
  <si>
    <t>26 Aug. 80</t>
  </si>
  <si>
    <t>Carbon ρ (µg C liter⁻¹ h⁻¹)</t>
  </si>
  <si>
    <t>Ammonium Kₛ + S (µg-atoms N liter⁻¹)</t>
  </si>
  <si>
    <t>Ammonium ρmax (ng-atoms liter⁻¹ h⁻¹)</t>
  </si>
  <si>
    <t>Nitrate Kₛ + S (µg-atoms N liter⁻¹)</t>
  </si>
  <si>
    <t>Nitrate ρmax (ng-atoms liter⁻¹ h⁻¹)</t>
  </si>
  <si>
    <t>Urea Kₛ + S (µg-atoms N liter⁻¹)</t>
  </si>
  <si>
    <t>Urea ρmax (ng-atoms liter⁻¹ h⁻¹)</t>
  </si>
  <si>
    <t>J1</t>
  </si>
  <si>
    <t>0.41±0.09</t>
  </si>
  <si>
    <t>5.82±0.95</t>
  </si>
  <si>
    <t>0.79±0.32</t>
  </si>
  <si>
    <t>1.29±0.07</t>
  </si>
  <si>
    <t>0.62±0.05</t>
  </si>
  <si>
    <t>J2</t>
  </si>
  <si>
    <t>0.66±0.32</t>
  </si>
  <si>
    <t>1.08±0.15</t>
  </si>
  <si>
    <t>J3</t>
  </si>
  <si>
    <t>0.16±0.02</t>
  </si>
  <si>
    <t>2.62±0.10</t>
  </si>
  <si>
    <t>4.57±0.01</t>
  </si>
  <si>
    <t>1.44±0.00</t>
  </si>
  <si>
    <t>0.12±0.09</t>
  </si>
  <si>
    <t>0.51±0.11</t>
  </si>
  <si>
    <t>J4</t>
  </si>
  <si>
    <t>0.07±0.02</t>
  </si>
  <si>
    <t>1.91±0.07</t>
  </si>
  <si>
    <t>3.00±0.18</t>
  </si>
  <si>
    <t>1.08±0.05</t>
  </si>
  <si>
    <t>0.04±0.04</t>
  </si>
  <si>
    <t>0.53±0.03</t>
  </si>
  <si>
    <t>J5</t>
  </si>
  <si>
    <t>0.15±0.01</t>
  </si>
  <si>
    <t>1.84±0.04</t>
  </si>
  <si>
    <t>1.67±0.14</t>
  </si>
  <si>
    <t>0.59±0.02</t>
  </si>
  <si>
    <t>0.07±0.04</t>
  </si>
  <si>
    <t>0.44±0.03</t>
  </si>
  <si>
    <t>J6</t>
  </si>
  <si>
    <t>0.32±0.06</t>
  </si>
  <si>
    <t>2.06±0.15</t>
  </si>
  <si>
    <t>2.29±0.24</t>
  </si>
  <si>
    <t>0.99±0.07</t>
  </si>
  <si>
    <t>0.06±0.03</t>
  </si>
  <si>
    <t>0.42±0.02</t>
  </si>
  <si>
    <t>J7</t>
  </si>
  <si>
    <t>0.10±0.05</t>
  </si>
  <si>
    <t>2.48±0.24</t>
  </si>
  <si>
    <t>0.78±0.04</t>
  </si>
  <si>
    <t>1.32±0.02</t>
  </si>
  <si>
    <t>1.05±0.03</t>
  </si>
  <si>
    <t>J9</t>
  </si>
  <si>
    <t>0.05±0.01</t>
  </si>
  <si>
    <t>1.62±0.14</t>
  </si>
  <si>
    <t>0.12±0.08</t>
  </si>
  <si>
    <t>0.32±0.04</t>
  </si>
  <si>
    <t>0.02±0.01</t>
  </si>
  <si>
    <t>0.88±0.08</t>
  </si>
  <si>
    <t>J10</t>
  </si>
  <si>
    <t>0.05±0.00</t>
  </si>
  <si>
    <t>3.03±0.11</t>
  </si>
  <si>
    <t>0.08±0.03</t>
  </si>
  <si>
    <t>0.74±0.06</t>
  </si>
  <si>
    <t>0.05±0.03</t>
  </si>
  <si>
    <t>2.09±0.56</t>
  </si>
  <si>
    <t>J11</t>
  </si>
  <si>
    <t>0.13±0.05</t>
  </si>
  <si>
    <t>6.01±1.61</t>
  </si>
  <si>
    <t>0.09±0.01</t>
  </si>
  <si>
    <t>1.08±0.04</t>
  </si>
  <si>
    <t>0.13±0.02</t>
  </si>
  <si>
    <t>2.63±0.34</t>
  </si>
  <si>
    <t>J12</t>
  </si>
  <si>
    <t>J13</t>
  </si>
  <si>
    <t>0.09±0.02</t>
  </si>
  <si>
    <t>4.32±0.17</t>
  </si>
  <si>
    <t>0.12±0.04</t>
  </si>
  <si>
    <t>0.70±0.03</t>
  </si>
  <si>
    <t>0.08±0.06</t>
  </si>
  <si>
    <t>2.49±0.30</t>
  </si>
  <si>
    <t>J14</t>
  </si>
  <si>
    <t>4.61±0.19</t>
  </si>
  <si>
    <t>0.47±0.02</t>
  </si>
  <si>
    <t>0.01±0.02</t>
  </si>
  <si>
    <t>2.13±0.09</t>
  </si>
  <si>
    <t>J15</t>
  </si>
  <si>
    <t>0.12±0.01</t>
  </si>
  <si>
    <t>6.47±0.16</t>
  </si>
  <si>
    <t>0.91±0.07</t>
  </si>
  <si>
    <t>0.08±0.02</t>
  </si>
  <si>
    <t>4.00±0.14</t>
  </si>
  <si>
    <t>J17</t>
  </si>
  <si>
    <t>3.67±0.05</t>
  </si>
  <si>
    <t>0.07±0.07</t>
  </si>
  <si>
    <t>1.24±0.05</t>
  </si>
  <si>
    <t>0.05±0.02</t>
  </si>
  <si>
    <t>1.80±0.05</t>
  </si>
  <si>
    <t>J19</t>
  </si>
  <si>
    <t>1.44±0.06</t>
  </si>
  <si>
    <t>0.02±0.09</t>
  </si>
  <si>
    <t>0.29±0.02</t>
  </si>
  <si>
    <t>0.10±0.04</t>
  </si>
  <si>
    <t>0.89±0.08</t>
  </si>
  <si>
    <t>J20</t>
  </si>
  <si>
    <t>0.11±0.02</t>
  </si>
  <si>
    <t>2.71±0.12</t>
  </si>
  <si>
    <t>0.06±0.05</t>
  </si>
  <si>
    <t>0.23±0.01</t>
  </si>
  <si>
    <t>0.11±0.01</t>
  </si>
  <si>
    <t>1.02±0.03</t>
  </si>
  <si>
    <t>J21</t>
  </si>
  <si>
    <t>3.15±0.09</t>
  </si>
  <si>
    <t>0.10±0.02</t>
  </si>
  <si>
    <t>0.30±0.00</t>
  </si>
  <si>
    <t>1.51±0.11</t>
  </si>
  <si>
    <t>J22</t>
  </si>
  <si>
    <t>0.10±0.01</t>
  </si>
  <si>
    <t>2.56±0.06</t>
  </si>
  <si>
    <t>0.13±0.10</t>
  </si>
  <si>
    <t>0.33±0.02</t>
  </si>
  <si>
    <t>1.13±0.04</t>
  </si>
  <si>
    <t>J23</t>
  </si>
  <si>
    <t>0.07±0.01</t>
  </si>
  <si>
    <t>2.13±0.03</t>
  </si>
  <si>
    <t>0.02±0.05</t>
  </si>
  <si>
    <t>0.36±0.01</t>
  </si>
  <si>
    <t>1.31±0.12</t>
  </si>
  <si>
    <t>Sta. No.</t>
  </si>
  <si>
    <t>Nutrient</t>
  </si>
  <si>
    <t>Total entries</t>
  </si>
  <si>
    <t>Kₛ (µmol N l⁻¹)</t>
  </si>
  <si>
    <t>Nutrient enr.-corr. factorᵃ</t>
  </si>
  <si>
    <t>Coastal</t>
  </si>
  <si>
    <t>Ammonium</t>
  </si>
  <si>
    <t>Oceanic</t>
  </si>
  <si>
    <t>Nitrate</t>
  </si>
  <si>
    <t>Urea</t>
  </si>
  <si>
    <r>
      <t>V m,abs (µmol N l</t>
    </r>
    <r>
      <rPr>
        <sz val="12"/>
        <color theme="1"/>
        <rFont val="Cambria Math"/>
        <family val="2"/>
        <charset val="1"/>
      </rPr>
      <t>⁻</t>
    </r>
    <r>
      <rPr>
        <sz val="12"/>
        <color theme="1"/>
        <rFont val="游ゴシック"/>
        <family val="2"/>
        <charset val="128"/>
        <scheme val="minor"/>
      </rPr>
      <t>¹ h</t>
    </r>
    <r>
      <rPr>
        <sz val="12"/>
        <color theme="1"/>
        <rFont val="Cambria Math"/>
        <family val="2"/>
        <charset val="1"/>
      </rPr>
      <t>⁻</t>
    </r>
    <r>
      <rPr>
        <sz val="12"/>
        <color theme="1"/>
        <rFont val="游ゴシック"/>
        <family val="2"/>
        <charset val="128"/>
        <scheme val="minor"/>
      </rPr>
      <t>¹)</t>
    </r>
    <phoneticPr fontId="2"/>
  </si>
  <si>
    <r>
      <t>V m,spec (h</t>
    </r>
    <r>
      <rPr>
        <sz val="12"/>
        <color theme="1"/>
        <rFont val="Cambria Math"/>
        <family val="2"/>
        <charset val="1"/>
      </rPr>
      <t>⁻</t>
    </r>
    <r>
      <rPr>
        <sz val="12"/>
        <color theme="1"/>
        <rFont val="游ゴシック"/>
        <family val="2"/>
        <charset val="128"/>
        <scheme val="minor"/>
      </rPr>
      <t>¹)</t>
    </r>
    <phoneticPr fontId="2"/>
  </si>
  <si>
    <t>Z_m (m)</t>
  </si>
  <si>
    <t>Z_e (m)</t>
  </si>
  <si>
    <t>NH₄⁺ N uptake rate (mg at. N m⁻² h⁻¹)</t>
  </si>
  <si>
    <t>NO₃⁻ N uptake rate (mg at. N m⁻² h⁻¹)</t>
  </si>
  <si>
    <t>Urea N uptake rate (mg at. N m⁻² h⁻¹)</t>
  </si>
  <si>
    <t>NO₃⁻/total N ratio</t>
  </si>
  <si>
    <t>f-ratio</t>
  </si>
  <si>
    <t>Chl a (mg m⁻²)</t>
  </si>
  <si>
    <t>Region</t>
  </si>
  <si>
    <t>Station no.</t>
  </si>
  <si>
    <t>pNH₄⁺ &lt;20 μm (μmol N m⁻³ h⁻¹)</t>
  </si>
  <si>
    <t>pNH₄⁺ &lt;2 μm (μmol N m⁻³ h⁻¹)</t>
  </si>
  <si>
    <t>pNO₃⁻ &lt;20 μm (μmol N m⁻³ h⁻¹)</t>
  </si>
  <si>
    <t>pNO₃⁻ &lt;2 μm (μmol N m⁻³ h⁻¹)</t>
  </si>
  <si>
    <t>pUrea &lt;20 μm (μmol N m⁻³ h⁻¹)</t>
  </si>
  <si>
    <t>pUrea &lt;2 μm (μmol N m⁻³ h⁻¹)</t>
  </si>
  <si>
    <t>Inshore</t>
  </si>
  <si>
    <t>R343</t>
  </si>
  <si>
    <t>R347</t>
  </si>
  <si>
    <t>R364</t>
  </si>
  <si>
    <t>R363</t>
  </si>
  <si>
    <t>R360</t>
  </si>
  <si>
    <t>Offshore</t>
  </si>
  <si>
    <t>R341</t>
  </si>
  <si>
    <t>R342</t>
  </si>
  <si>
    <t>R350</t>
  </si>
  <si>
    <t>R353</t>
  </si>
  <si>
    <t>R356</t>
  </si>
  <si>
    <t>Light</t>
  </si>
  <si>
    <t>Statistic</t>
  </si>
  <si>
    <t>ρ Total Mixed (ng atom N l⁻¹ h⁻¹)</t>
  </si>
  <si>
    <t>ρ Total Stratified (ng atom N l⁻¹ h⁻¹)</t>
  </si>
  <si>
    <t>ρ NH₄⁺ Mixed (ng atom N l⁻¹ h⁻¹)</t>
  </si>
  <si>
    <t>ρ NH₄⁺ Stratified (ng atom N l⁻¹ h⁻¹)</t>
  </si>
  <si>
    <t>ρ NO₃⁻ Mixed (ng atom N l⁻¹ h⁻¹)</t>
  </si>
  <si>
    <t>ρ NO₃⁻ Stratified (ng atom N l⁻¹ h⁻¹)</t>
  </si>
  <si>
    <t>ρ urea Mixed (ng atom N l⁻¹ h⁻¹)</t>
  </si>
  <si>
    <t>ρ urea Stratified (ng atom N l⁻¹ h⁻¹)</t>
  </si>
  <si>
    <t>50% I₀</t>
  </si>
  <si>
    <t>Mean</t>
  </si>
  <si>
    <t>Standard deviation</t>
  </si>
  <si>
    <t>1% I₀</t>
  </si>
  <si>
    <t>Nitrate assimilation (mmol m⁻² day⁻¹)</t>
  </si>
  <si>
    <t>Ammonium assimilation (mmol m⁻² day⁻¹)</t>
  </si>
  <si>
    <t>Urea assimilation (mmol m⁻² day⁻¹)</t>
  </si>
  <si>
    <t>Total N assimilation (mmol m⁻² day⁻¹)</t>
  </si>
  <si>
    <t>f-ratioᵃ</t>
  </si>
  <si>
    <t>GOM 2/1 (50 m)</t>
  </si>
  <si>
    <t>GOM 4/A (60 m)</t>
  </si>
  <si>
    <t>GOM 5/A (60 m)</t>
  </si>
  <si>
    <t>A1/6 (45 m)</t>
  </si>
  <si>
    <t>A1/29 (45 m)</t>
  </si>
  <si>
    <t>AS 3/1 (45 m)</t>
  </si>
  <si>
    <t>AS 5/3 (30 m)</t>
  </si>
  <si>
    <t>A2/1 (50 m)</t>
  </si>
  <si>
    <t>A3/13 (80 m)</t>
  </si>
  <si>
    <t>A3/32 (80 m)</t>
  </si>
  <si>
    <t>A5/2 (80 m)</t>
  </si>
  <si>
    <t>A7/2 (80 m)</t>
  </si>
  <si>
    <t>A9/2 (100 m)</t>
  </si>
  <si>
    <t>Cyanobacterial isolate</t>
  </si>
  <si>
    <t>NH₄⁺ (d⁻¹)</t>
  </si>
  <si>
    <t>Urea (d⁻¹)</t>
  </si>
  <si>
    <t>NO₂⁻ (d⁻¹)</t>
  </si>
  <si>
    <t>NO₃⁻ (d⁻¹)</t>
  </si>
  <si>
    <t>Prochlorococcus MED4</t>
  </si>
  <si>
    <t>0.71±0.01</t>
  </si>
  <si>
    <t>0.73±0.00</t>
  </si>
  <si>
    <t>n.g.</t>
  </si>
  <si>
    <t>Prochlorococcus MIT 9313</t>
  </si>
  <si>
    <t>0.58±0.01</t>
  </si>
  <si>
    <t>0.25±0.03</t>
  </si>
  <si>
    <t>0.40±0.04</t>
  </si>
  <si>
    <t>Synechococcus MIT S9220</t>
  </si>
  <si>
    <t>0.89±0.00</t>
  </si>
  <si>
    <t>0.23±0.00</t>
  </si>
  <si>
    <t>0.56±0.04</t>
  </si>
  <si>
    <t>Synechococcus WH 8103</t>
  </si>
  <si>
    <t>0.85±0.02</t>
  </si>
  <si>
    <t>0.77±0.01</t>
  </si>
  <si>
    <t>0.37±0.04</t>
  </si>
  <si>
    <t>0.55±0.03</t>
  </si>
  <si>
    <t>NADR</t>
  </si>
  <si>
    <t>PON</t>
  </si>
  <si>
    <t>Chl-a</t>
  </si>
  <si>
    <t>Nitrate uptake (mmol N m−2 d−1)</t>
  </si>
  <si>
    <t>Ammonium uptake (mmol N m−2 d−1)</t>
  </si>
  <si>
    <t>Urea uptake (mmol N m−2 d−1)</t>
  </si>
  <si>
    <t>f ratio (nitrate &amp; ammonium)</t>
  </si>
  <si>
    <t>f ratio (urea, nitrate &amp; ammonium)</t>
  </si>
  <si>
    <t>The authors discussed that urea uptake may be overestimated.</t>
    <phoneticPr fontId="2"/>
  </si>
  <si>
    <t>NAST</t>
  </si>
  <si>
    <t>CNRY</t>
  </si>
  <si>
    <t>ETRA</t>
  </si>
  <si>
    <t>SATL</t>
  </si>
  <si>
    <t>BRAZ</t>
  </si>
  <si>
    <t>MLD</t>
  </si>
  <si>
    <t>f</t>
  </si>
  <si>
    <t>&lt;0.05</t>
  </si>
  <si>
    <t>S1 (36.5°S)</t>
  </si>
  <si>
    <t>L2 (41.2°S)</t>
  </si>
  <si>
    <t>L4 (46.0°S)</t>
  </si>
  <si>
    <t>S3 (47.6°S)</t>
  </si>
  <si>
    <t>L6 (50.4°S)</t>
  </si>
  <si>
    <t>L7 (55.6°S)</t>
  </si>
  <si>
    <t>S5 (57.6°S)</t>
  </si>
  <si>
    <t>POC</t>
  </si>
  <si>
    <t>NO3</t>
  </si>
  <si>
    <t>NH4</t>
  </si>
  <si>
    <t>pNO3</t>
  </si>
  <si>
    <t>pNH4</t>
  </si>
  <si>
    <t>pUrea</t>
  </si>
  <si>
    <t>STZ (34.4°S)</t>
  </si>
  <si>
    <t>SAZ (44.5°S)</t>
  </si>
  <si>
    <t>PFZ L3 (44.9°S)</t>
  </si>
  <si>
    <t>L5 (49.0°S)</t>
  </si>
  <si>
    <t>AZ (51.8°S)</t>
  </si>
  <si>
    <t>Station Number</t>
  </si>
  <si>
    <t>% Light</t>
  </si>
  <si>
    <t>Ambient [NO3-] (mmol m^-3)</t>
  </si>
  <si>
    <t>Ambient [NH4] (mmol m^-3)</t>
  </si>
  <si>
    <t>Ambient [Urea] (mmol m^-3)</t>
  </si>
  <si>
    <t>NO3 Uptake (mmol N m^-3 d^-1)</t>
  </si>
  <si>
    <t>NH4 Uptake (mmol N m^-3 d^-1)</t>
  </si>
  <si>
    <t>Urea Uptake (mmol N m^-3 d^-1)</t>
  </si>
  <si>
    <t>Total Chlorophyll (mg m^-3)</t>
  </si>
  <si>
    <t>NP1</t>
  </si>
  <si>
    <t>NP2</t>
  </si>
  <si>
    <t>NP3</t>
  </si>
  <si>
    <t>NP4</t>
  </si>
  <si>
    <t>NP5</t>
  </si>
  <si>
    <t>NP6</t>
  </si>
  <si>
    <t>Ammonia Oxidation</t>
    <phoneticPr fontId="2"/>
  </si>
  <si>
    <t>Urea-N oxidation</t>
    <phoneticPr fontId="2"/>
  </si>
  <si>
    <t>N/A</t>
    <phoneticPr fontId="2"/>
  </si>
  <si>
    <t>N/A</t>
  </si>
  <si>
    <t>nanogram atoms N/liter/day</t>
    <phoneticPr fontId="2"/>
  </si>
  <si>
    <t>umol N/L h</t>
    <phoneticPr fontId="2"/>
  </si>
  <si>
    <t>NO3_uptake</t>
    <phoneticPr fontId="2"/>
  </si>
  <si>
    <t>mmol m⁻³ d⁻¹</t>
  </si>
  <si>
    <t>NH4-uptake(mmol/m2/d)</t>
    <phoneticPr fontId="2"/>
  </si>
  <si>
    <t>Urea-uptake(mmol/m2/d)</t>
    <phoneticPr fontId="2"/>
  </si>
  <si>
    <t>NO3-uptake(mmol/m2/d)</t>
    <phoneticPr fontId="2"/>
  </si>
  <si>
    <t>NH4_Specific_Uptake [/H]</t>
    <phoneticPr fontId="2"/>
  </si>
  <si>
    <t>Urea_Specific_Uptake [/H]</t>
    <phoneticPr fontId="2"/>
  </si>
  <si>
    <t>NO3_Specific_Uptake [/H]</t>
    <phoneticPr fontId="2"/>
  </si>
  <si>
    <t>depth</t>
    <phoneticPr fontId="2"/>
  </si>
  <si>
    <t>NH4+ (μM)</t>
  </si>
  <si>
    <t>NO3- (μM)</t>
  </si>
  <si>
    <t>Urea (μM)</t>
  </si>
  <si>
    <t>V_NO3- (mg N m^-3 h^-1)</t>
  </si>
  <si>
    <t>V_Urea (mg N m^-3 h^-1)</t>
  </si>
  <si>
    <t>Chl a &lt;5 μm (μg L^-1)</t>
  </si>
  <si>
    <t>Chl a total (μg L^-1)</t>
  </si>
  <si>
    <t>CFR (g C m^-2 d^-1)</t>
  </si>
  <si>
    <t>H0</t>
  </si>
  <si>
    <t>E1</t>
  </si>
  <si>
    <t>W1</t>
  </si>
  <si>
    <t>H2</t>
  </si>
  <si>
    <t>N1</t>
  </si>
  <si>
    <t>&lt;0.001</t>
  </si>
  <si>
    <t>H3</t>
  </si>
  <si>
    <t>N2</t>
  </si>
  <si>
    <t>E3</t>
  </si>
  <si>
    <t>W3</t>
  </si>
  <si>
    <t>N3</t>
  </si>
  <si>
    <t>H4</t>
  </si>
  <si>
    <t>E4</t>
  </si>
  <si>
    <t>W4</t>
  </si>
  <si>
    <t>N4</t>
  </si>
  <si>
    <t>H5</t>
  </si>
  <si>
    <t>E5</t>
  </si>
  <si>
    <t>W5</t>
  </si>
  <si>
    <t>N5</t>
  </si>
  <si>
    <t>E6</t>
  </si>
  <si>
    <t>W6</t>
  </si>
  <si>
    <t>N6</t>
  </si>
  <si>
    <t>H7</t>
  </si>
  <si>
    <t>E7</t>
  </si>
  <si>
    <t>W7</t>
  </si>
  <si>
    <t>V_NH4 (mg N m^-3 h^-1)</t>
    <phoneticPr fontId="2"/>
  </si>
  <si>
    <t>lat</t>
  </si>
  <si>
    <t>date</t>
    <phoneticPr fontId="2"/>
  </si>
  <si>
    <t>lon</t>
  </si>
  <si>
    <t>NO3_Absolute_Uptake [uM/H]</t>
    <phoneticPr fontId="2"/>
  </si>
  <si>
    <t>station</t>
  </si>
  <si>
    <t>population</t>
  </si>
  <si>
    <t>Urea_uptake_rate_fmol/cell/h</t>
    <phoneticPr fontId="2"/>
  </si>
  <si>
    <t>Prochlorococcus</t>
  </si>
  <si>
    <t>NA</t>
  </si>
  <si>
    <t>Synechococcus</t>
  </si>
  <si>
    <t>Eukaryotes</t>
  </si>
  <si>
    <t>NO3_uptake_rate_fmol/cell/h</t>
    <phoneticPr fontId="2"/>
  </si>
  <si>
    <t>NH4_uptake_rate_fmol/cell/h</t>
    <phoneticPr fontId="2"/>
  </si>
  <si>
    <t>NH4_affinity</t>
    <phoneticPr fontId="2"/>
  </si>
  <si>
    <t>0.01±0.05</t>
    <phoneticPr fontId="2"/>
  </si>
  <si>
    <t>Urea_affinity</t>
    <phoneticPr fontId="2"/>
  </si>
  <si>
    <t>NO3_affinity</t>
    <phoneticPr fontId="2"/>
  </si>
  <si>
    <t>0.01±0.04</t>
    <phoneticPr fontId="2"/>
  </si>
  <si>
    <t>P4</t>
  </si>
  <si>
    <t>P12</t>
  </si>
  <si>
    <t>P16</t>
  </si>
  <si>
    <t>P20</t>
  </si>
  <si>
    <t>OSP</t>
  </si>
  <si>
    <t>ρNO3-(mg-at m-2 d-1)</t>
    <phoneticPr fontId="2"/>
  </si>
  <si>
    <t>ρUrea(mg-at m-2 d-1)</t>
    <phoneticPr fontId="2"/>
  </si>
  <si>
    <t>ρNH4+(mg-at m-2 d-1)</t>
    <phoneticPr fontId="2"/>
  </si>
  <si>
    <t>Zeu</t>
    <phoneticPr fontId="2"/>
  </si>
  <si>
    <t>long</t>
    <phoneticPr fontId="2"/>
  </si>
  <si>
    <r>
      <t>nmol l</t>
    </r>
    <r>
      <rPr>
        <sz val="8"/>
        <color rgb="FF000000"/>
        <rFont val="Helvetica"/>
        <family val="2"/>
      </rPr>
      <t>−</t>
    </r>
    <r>
      <rPr>
        <sz val="8"/>
        <color rgb="FF000000"/>
        <rFont val="Times"/>
      </rPr>
      <t xml:space="preserve">1 </t>
    </r>
    <r>
      <rPr>
        <sz val="9"/>
        <color rgb="FF000000"/>
        <rFont val="Times"/>
      </rPr>
      <t>d</t>
    </r>
    <r>
      <rPr>
        <sz val="8"/>
        <color rgb="FF000000"/>
        <rFont val="Helvetica"/>
        <family val="2"/>
      </rPr>
      <t>−</t>
    </r>
    <r>
      <rPr>
        <sz val="8"/>
        <color rgb="FF000000"/>
        <rFont val="Times"/>
      </rPr>
      <t>1</t>
    </r>
  </si>
  <si>
    <t>Station/date</t>
  </si>
  <si>
    <t>SST (°C)</t>
  </si>
  <si>
    <t>MLD (m)</t>
  </si>
  <si>
    <t>ρNO3</t>
  </si>
  <si>
    <t>ρNH4</t>
  </si>
  <si>
    <t>ρNH2</t>
  </si>
  <si>
    <t>Total N-uptake rate</t>
  </si>
  <si>
    <t>EP1 (12/5/2005)</t>
  </si>
  <si>
    <t>EP2 (14/5/2005)</t>
  </si>
  <si>
    <t>EP3 (16/5/2005)</t>
  </si>
  <si>
    <t>EP4 (19/5/2005)</t>
  </si>
  <si>
    <t>EP5 (22/5/2005)</t>
  </si>
  <si>
    <t>EP6 (25/5/2005)</t>
  </si>
  <si>
    <t>EP7 (27/5/2005)</t>
  </si>
  <si>
    <t>EP8 (31/5/2005)</t>
  </si>
  <si>
    <t>EP9 (3/6/2005)</t>
  </si>
  <si>
    <t>EP10 (4/6/2005)</t>
  </si>
  <si>
    <t>SP1 (24/2/2006)</t>
  </si>
  <si>
    <t>SP2 (3/3/2006)</t>
  </si>
  <si>
    <t>SP3 (6/3/2006)</t>
  </si>
  <si>
    <t>SP4 (13/3/2006)</t>
  </si>
  <si>
    <t>SP5 (15/3/2006)</t>
  </si>
  <si>
    <t>SP6 (17/3/2006)</t>
  </si>
  <si>
    <t>SP7 (2/2/2006)</t>
  </si>
  <si>
    <t>SP8 (30/1/2006)</t>
  </si>
  <si>
    <t>[NH4]+ upt rate [nmol/l/h]</t>
  </si>
  <si>
    <t>[NH4]+ [µmol/l]</t>
  </si>
  <si>
    <t>Inc depth [m]</t>
  </si>
  <si>
    <t>Urea [µmol/l]</t>
  </si>
  <si>
    <t>NO3 upt rate [nmol/l/h]</t>
  </si>
  <si>
    <t>[NO2]- [µmol/l]</t>
  </si>
  <si>
    <t>Press [dbar]</t>
  </si>
  <si>
    <t>NO3 upt rate frac [nmol/l/h]</t>
  </si>
  <si>
    <t>[NO2]- upt rate [nmol/l/h]</t>
  </si>
  <si>
    <t>[NH4]+ upt rate frac [nmol/l/h]</t>
  </si>
  <si>
    <t>Urea upt rate [nmol/l/h]</t>
  </si>
  <si>
    <t>15N tracer [µmol/l]</t>
  </si>
  <si>
    <t>[NO3]- [µmol/l]</t>
  </si>
  <si>
    <t>NH3 [µmol/l]</t>
  </si>
  <si>
    <t>Origin of Values</t>
  </si>
  <si>
    <t>&lt;0.030</t>
  </si>
  <si>
    <t>https://doi.pangaea.de/10.1594/PANGAEA.806109; https://doi.pangaea.de/10.1594/PANGAEA.806469</t>
  </si>
  <si>
    <t>https://doi.pangaea.de/10.1594/PANGAEA.806469</t>
  </si>
  <si>
    <t>https://doi.pangaea.de/10.1594/PANGAEA.806470</t>
  </si>
  <si>
    <t>https://doi.pangaea.de/10.1594/PANGAEA.128106; https://doi.pangaea.de/10.1594/PANGAEA.132067</t>
  </si>
  <si>
    <t>https://doi.pangaea.de/10.1594/PANGAEA.128110; https://doi.pangaea.de/10.1594/PANGAEA.132068</t>
  </si>
  <si>
    <t>https://doi.pangaea.de/10.1594/PANGAEA.128113; https://doi.pangaea.de/10.1594/PANGAEA.132069</t>
  </si>
  <si>
    <t>https://doi.pangaea.de/10.1594/PANGAEA.128115; https://doi.pangaea.de/10.1594/PANGAEA.132072</t>
  </si>
  <si>
    <t>https://doi.pangaea.de/10.1594/PANGAEA.128114; https://doi.pangaea.de/10.1594/PANGAEA.132070</t>
  </si>
  <si>
    <t>https://doi.pangaea.de/10.1594/PANGAEA.128120; https://doi.pangaea.de/10.1594/PANGAEA.132073</t>
  </si>
  <si>
    <t>https://doi.pangaea.de/10.1594/PANGAEA.128122; https://doi.pangaea.de/10.1594/PANGAEA.132074</t>
  </si>
  <si>
    <t>https://doi.pangaea.de/10.1594/PANGAEA.128123; https://doi.pangaea.de/10.1594/PANGAEA.132075</t>
  </si>
  <si>
    <t>https://doi.pangaea.de/10.1594/PANGAEA.132076</t>
  </si>
  <si>
    <t>https://doi.pangaea.de/10.1594/PANGAEA.132077</t>
  </si>
  <si>
    <t>https://doi.pangaea.de/10.1594/PANGAEA.128132; https://doi.pangaea.de/10.1594/PANGAEA.132078</t>
  </si>
  <si>
    <t>https://doi.pangaea.de/10.1594/PANGAEA.132078</t>
  </si>
  <si>
    <t>https://doi.pangaea.de/10.1594/PANGAEA.128133; https://doi.pangaea.de/10.1594/PANGAEA.132079</t>
  </si>
  <si>
    <t>https://doi.pangaea.de/10.1594/PANGAEA.132079</t>
  </si>
  <si>
    <t>https://doi.pangaea.de/10.1594/PANGAEA.128141; https://doi.pangaea.de/10.1594/PANGAEA.132080</t>
  </si>
  <si>
    <t>https://doi.pangaea.de/10.1594/PANGAEA.132080</t>
  </si>
  <si>
    <t>https://doi.pangaea.de/10.1594/PANGAEA.128148; https://doi.pangaea.de/10.1594/PANGAEA.132082</t>
  </si>
  <si>
    <t>https://doi.pangaea.de/10.1594/PANGAEA.132082</t>
  </si>
  <si>
    <t>https://doi.pangaea.de/10.1594/PANGAEA.128149; https://doi.pangaea.de/10.1594/PANGAEA.132083</t>
  </si>
  <si>
    <t>https://doi.pangaea.de/10.1594/PANGAEA.132083</t>
  </si>
  <si>
    <t>https://doi.pangaea.de/10.1594/PANGAEA.128150; https://doi.pangaea.de/10.1594/PANGAEA.132084</t>
  </si>
  <si>
    <t>https://doi.pangaea.de/10.1594/PANGAEA.132084</t>
  </si>
  <si>
    <t>https://doi.pangaea.de/10.1594/PANGAEA.132086</t>
  </si>
  <si>
    <t>https://doi.pangaea.de/10.1594/PANGAEA.806109; https://doi.pangaea.de/10.1594/PANGAEA.806469</t>
    <phoneticPr fontId="2"/>
  </si>
  <si>
    <t>Position</t>
  </si>
  <si>
    <t>NO₃ (µM)</t>
  </si>
  <si>
    <t>NH₄ (µM)</t>
  </si>
  <si>
    <t>Urea (µM)</t>
  </si>
  <si>
    <t>POC (µM l⁻¹)</t>
  </si>
  <si>
    <t>PN (µM l⁻¹)</t>
  </si>
  <si>
    <t>C/N</t>
  </si>
  <si>
    <t>M4</t>
  </si>
  <si>
    <t>58°50S-62°03E</t>
  </si>
  <si>
    <t>21.10.95</t>
  </si>
  <si>
    <t>A16</t>
  </si>
  <si>
    <t>52°00S-61°56E</t>
  </si>
  <si>
    <t>13.10.95</t>
  </si>
  <si>
    <t>A18</t>
  </si>
  <si>
    <t>49°00S-62°01E</t>
  </si>
  <si>
    <t>12.10.95</t>
  </si>
  <si>
    <t>48°00S-73°35E</t>
  </si>
  <si>
    <t>07.10.95</t>
  </si>
  <si>
    <t>νNO₃ h⁻¹</t>
  </si>
  <si>
    <t>νNH₄ h⁻¹</t>
  </si>
  <si>
    <t>νUREA h⁻¹</t>
  </si>
  <si>
    <t>ΣνN h⁻¹</t>
  </si>
  <si>
    <t>ΣρN µM day⁻¹</t>
  </si>
  <si>
    <t>f'-ratio</t>
  </si>
  <si>
    <t>RPI_NO₃</t>
  </si>
  <si>
    <t>RPI_NH₄</t>
  </si>
  <si>
    <t>RPI_UREA</t>
  </si>
  <si>
    <t>Category</t>
  </si>
  <si>
    <t>Ammonium (mg-at N m⁻³)</t>
  </si>
  <si>
    <t>Nitrate (mg-at N m⁻³)</t>
  </si>
  <si>
    <t>Urea (mg-at N m⁻³)</t>
  </si>
  <si>
    <t>Station depth (m)</t>
  </si>
  <si>
    <t>++</t>
  </si>
  <si>
    <t>Shelf</t>
  </si>
  <si>
    <t>Temp (°C)</t>
  </si>
  <si>
    <t>Salinity (‰)</t>
  </si>
  <si>
    <t>Urea uM</t>
    <phoneticPr fontId="2"/>
  </si>
  <si>
    <t>Rm</t>
    <phoneticPr fontId="2"/>
  </si>
  <si>
    <t>Kurea</t>
    <phoneticPr fontId="2"/>
  </si>
  <si>
    <t>RNH4</t>
    <phoneticPr fontId="2"/>
  </si>
  <si>
    <t>KNH4</t>
    <phoneticPr fontId="2"/>
  </si>
  <si>
    <t>Urea_conc</t>
    <phoneticPr fontId="2"/>
  </si>
  <si>
    <t>NH4_conc</t>
    <phoneticPr fontId="2"/>
  </si>
  <si>
    <t>Ammoniumn uptake rate (&gt;0.3 microns) (nM/day)</t>
  </si>
  <si>
    <t>Nitrate uptake rate (&gt;0.3 microns) (nM/day)</t>
  </si>
  <si>
    <t>Urea uptake rate (&gt;0.3 microns) (nM/day)</t>
  </si>
  <si>
    <t>AMT 11-01</t>
  </si>
  <si>
    <t>AMT 11-03</t>
  </si>
  <si>
    <t>AMT 11-05</t>
  </si>
  <si>
    <t>AMT 11-07</t>
  </si>
  <si>
    <t>AMT 11-09</t>
  </si>
  <si>
    <t>AMT 11-11</t>
  </si>
  <si>
    <t>AMT 11-13</t>
  </si>
  <si>
    <t>AMT 11-15</t>
  </si>
  <si>
    <t>AMT 11-16</t>
  </si>
  <si>
    <t>AMT 11-18</t>
  </si>
  <si>
    <t>AMT 11-20</t>
  </si>
  <si>
    <t>AMT 11-22</t>
  </si>
  <si>
    <t>AMT 11-24</t>
  </si>
  <si>
    <t>AMT 11-26</t>
  </si>
  <si>
    <t>AMT 11-27</t>
  </si>
  <si>
    <t>AMT 11-29</t>
  </si>
  <si>
    <t>AMT 11-31</t>
  </si>
  <si>
    <t>AMT 11-33</t>
  </si>
  <si>
    <t>AMT 11-35</t>
  </si>
  <si>
    <t>AMT 11-37</t>
  </si>
  <si>
    <t>AMT 11-39</t>
  </si>
  <si>
    <t>AMT 11-41</t>
  </si>
  <si>
    <t>AMT 11-43</t>
  </si>
  <si>
    <t>AMT 11-45</t>
  </si>
  <si>
    <t>AMT 11-46</t>
  </si>
  <si>
    <t>year</t>
    <phoneticPr fontId="2"/>
  </si>
  <si>
    <t>month</t>
    <phoneticPr fontId="2"/>
  </si>
  <si>
    <t>day</t>
    <phoneticPr fontId="2"/>
  </si>
  <si>
    <t>station</t>
    <phoneticPr fontId="2"/>
  </si>
  <si>
    <t>cruise</t>
    <phoneticPr fontId="2"/>
  </si>
  <si>
    <t>area</t>
    <phoneticPr fontId="2"/>
  </si>
  <si>
    <t>urea_uM</t>
    <phoneticPr fontId="2"/>
  </si>
  <si>
    <r>
      <t>pUrea_nmol l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 h</t>
    </r>
    <r>
      <rPr>
        <vertAlign val="superscript"/>
        <sz val="10"/>
        <color theme="1"/>
        <rFont val="Arial"/>
        <family val="2"/>
      </rPr>
      <t>-1</t>
    </r>
    <phoneticPr fontId="2"/>
  </si>
  <si>
    <r>
      <t>rDONUrea_nmol l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 h</t>
    </r>
    <r>
      <rPr>
        <vertAlign val="superscript"/>
        <sz val="10"/>
        <color theme="1"/>
        <rFont val="Arial"/>
        <family val="2"/>
      </rPr>
      <t>-1</t>
    </r>
    <phoneticPr fontId="2"/>
  </si>
  <si>
    <r>
      <t>pBUrea_nmol l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 h</t>
    </r>
    <r>
      <rPr>
        <vertAlign val="superscript"/>
        <sz val="10"/>
        <color theme="1"/>
        <rFont val="Arial"/>
        <family val="2"/>
      </rPr>
      <t>-1</t>
    </r>
    <phoneticPr fontId="2"/>
  </si>
  <si>
    <t>Zpar</t>
    <phoneticPr fontId="2"/>
  </si>
  <si>
    <r>
      <t>p</t>
    </r>
    <r>
      <rPr>
        <vertAlign val="subscript"/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Urea</t>
    </r>
  </si>
  <si>
    <r>
      <t>p</t>
    </r>
    <r>
      <rPr>
        <vertAlign val="subscript"/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Urea</t>
    </r>
  </si>
  <si>
    <r>
      <t>p*</t>
    </r>
    <r>
      <rPr>
        <vertAlign val="subscript"/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NH4sf</t>
    </r>
  </si>
  <si>
    <t>NaN</t>
  </si>
  <si>
    <t>NH4 Uptake(nmol/L/hr)</t>
    <phoneticPr fontId="2"/>
  </si>
  <si>
    <t>Urea(nmol/L/hr)</t>
    <phoneticPr fontId="2"/>
  </si>
  <si>
    <t>NO3 Uptake(nmol/L/hr)</t>
    <phoneticPr fontId="2"/>
  </si>
  <si>
    <r>
      <t>chl </t>
    </r>
    <r>
      <rPr>
        <i/>
        <sz val="16"/>
        <color rgb="FF000000"/>
        <rFont val="Arial"/>
        <family val="2"/>
      </rPr>
      <t>a</t>
    </r>
    <r>
      <rPr>
        <sz val="16"/>
        <color rgb="FF000000"/>
        <rFont val="Arial"/>
        <family val="2"/>
      </rPr>
      <t> (mg m</t>
    </r>
    <r>
      <rPr>
        <sz val="11"/>
        <color rgb="FF000000"/>
        <rFont val="Arial"/>
        <family val="2"/>
      </rPr>
      <t>−2</t>
    </r>
    <r>
      <rPr>
        <sz val="16"/>
        <color rgb="FF000000"/>
        <rFont val="Arial"/>
        <family val="2"/>
      </rPr>
      <t>)</t>
    </r>
  </si>
  <si>
    <r>
      <t>ρC (mg C m</t>
    </r>
    <r>
      <rPr>
        <sz val="11"/>
        <color rgb="FF000000"/>
        <rFont val="Arial"/>
        <family val="2"/>
      </rPr>
      <t>−2</t>
    </r>
    <r>
      <rPr>
        <sz val="16"/>
        <color rgb="FF000000"/>
        <rFont val="Arial"/>
        <family val="2"/>
      </rPr>
      <t> d</t>
    </r>
    <r>
      <rPr>
        <sz val="11"/>
        <color rgb="FF000000"/>
        <rFont val="Arial"/>
        <family val="2"/>
      </rPr>
      <t>−1</t>
    </r>
    <r>
      <rPr>
        <sz val="16"/>
        <color rgb="FF000000"/>
        <rFont val="Arial"/>
        <family val="2"/>
      </rPr>
      <t>)</t>
    </r>
  </si>
  <si>
    <r>
      <t>ρNO</t>
    </r>
    <r>
      <rPr>
        <sz val="11"/>
        <color rgb="FF000000"/>
        <rFont val="Arial"/>
        <family val="2"/>
      </rPr>
      <t>3−</t>
    </r>
    <r>
      <rPr>
        <sz val="16"/>
        <color rgb="FF000000"/>
        <rFont val="Arial"/>
        <family val="2"/>
      </rPr>
      <t> (mmol N m</t>
    </r>
    <r>
      <rPr>
        <sz val="11"/>
        <color rgb="FF000000"/>
        <rFont val="Arial"/>
        <family val="2"/>
      </rPr>
      <t>−2</t>
    </r>
    <r>
      <rPr>
        <sz val="16"/>
        <color rgb="FF000000"/>
        <rFont val="Arial"/>
        <family val="2"/>
      </rPr>
      <t> d</t>
    </r>
    <r>
      <rPr>
        <sz val="11"/>
        <color rgb="FF000000"/>
        <rFont val="Arial"/>
        <family val="2"/>
      </rPr>
      <t>−1</t>
    </r>
    <r>
      <rPr>
        <sz val="16"/>
        <color rgb="FF000000"/>
        <rFont val="Arial"/>
        <family val="2"/>
      </rPr>
      <t>)</t>
    </r>
  </si>
  <si>
    <r>
      <t>ρNH</t>
    </r>
    <r>
      <rPr>
        <sz val="11"/>
        <color rgb="FF000000"/>
        <rFont val="Arial"/>
        <family val="2"/>
      </rPr>
      <t>4+</t>
    </r>
    <r>
      <rPr>
        <sz val="16"/>
        <color rgb="FF000000"/>
        <rFont val="Arial"/>
        <family val="2"/>
      </rPr>
      <t> (mmol N m</t>
    </r>
    <r>
      <rPr>
        <sz val="11"/>
        <color rgb="FF000000"/>
        <rFont val="Arial"/>
        <family val="2"/>
      </rPr>
      <t>−2</t>
    </r>
    <r>
      <rPr>
        <sz val="16"/>
        <color rgb="FF000000"/>
        <rFont val="Arial"/>
        <family val="2"/>
      </rPr>
      <t> d</t>
    </r>
    <r>
      <rPr>
        <sz val="11"/>
        <color rgb="FF000000"/>
        <rFont val="Arial"/>
        <family val="2"/>
      </rPr>
      <t>−1</t>
    </r>
    <r>
      <rPr>
        <sz val="16"/>
        <color rgb="FF000000"/>
        <rFont val="Arial"/>
        <family val="2"/>
      </rPr>
      <t>)</t>
    </r>
  </si>
  <si>
    <r>
      <t>ρUrea-N (mmol N m</t>
    </r>
    <r>
      <rPr>
        <sz val="11"/>
        <color rgb="FF000000"/>
        <rFont val="Arial"/>
        <family val="2"/>
      </rPr>
      <t>−2</t>
    </r>
    <r>
      <rPr>
        <sz val="16"/>
        <color rgb="FF000000"/>
        <rFont val="Arial"/>
        <family val="2"/>
      </rPr>
      <t> d</t>
    </r>
    <r>
      <rPr>
        <sz val="11"/>
        <color rgb="FF000000"/>
        <rFont val="Arial"/>
        <family val="2"/>
      </rPr>
      <t>−1</t>
    </r>
    <r>
      <rPr>
        <sz val="16"/>
        <color rgb="FF000000"/>
        <rFont val="Arial"/>
        <family val="2"/>
      </rPr>
      <t>)</t>
    </r>
  </si>
  <si>
    <r>
      <t>f</t>
    </r>
    <r>
      <rPr>
        <sz val="16"/>
        <color rgb="FF000000"/>
        <rFont val="Arial"/>
        <family val="2"/>
      </rPr>
      <t>-ratio</t>
    </r>
  </si>
  <si>
    <t>NP-1</t>
  </si>
  <si>
    <t>BL-2</t>
  </si>
  <si>
    <t>BL-1</t>
  </si>
  <si>
    <t>AG-5</t>
  </si>
  <si>
    <t>BFB-7</t>
  </si>
  <si>
    <t>Station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</si>
</sst>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24" formatCode="\$#,##0_);[Red]\(\$#,##0\)"/>
    <numFmt numFmtId="176" formatCode="0.000000_);[Red]\(0.000000\)"/>
    <numFmt numFmtId="177" formatCode="0.00000_ "/>
    <numFmt numFmtId="178" formatCode="0.000_ "/>
    <numFmt numFmtId="179" formatCode="0.0"/>
    <numFmt numFmtId="180" formatCode="0.0000"/>
    <numFmt numFmtId="181" formatCode="0.000"/>
    <numFmt numFmtId="182" formatCode="0.0000000"/>
  </numFmts>
  <fonts count="34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5"/>
      <color rgb="FF0A2333"/>
      <name val="Arial"/>
      <family val="2"/>
    </font>
    <font>
      <sz val="15"/>
      <color rgb="FFFF0000"/>
      <name val="Arial"/>
      <family val="2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12"/>
      <color theme="1"/>
      <name val="Cambria Math"/>
      <family val="2"/>
      <charset val="1"/>
    </font>
    <font>
      <sz val="11"/>
      <name val="游ゴシック"/>
      <family val="2"/>
      <scheme val="minor"/>
    </font>
    <font>
      <b/>
      <sz val="14"/>
      <color rgb="FF1F1F1F"/>
      <name val="Georgia"/>
      <family val="1"/>
    </font>
    <font>
      <sz val="8"/>
      <color rgb="FF000000"/>
      <name val="Helvetica"/>
      <family val="2"/>
    </font>
    <font>
      <sz val="14"/>
      <color rgb="FF1F1F1F"/>
      <name val="Georgia"/>
      <family val="1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9"/>
      <color rgb="FF000000"/>
      <name val="Times"/>
    </font>
    <font>
      <sz val="8"/>
      <color rgb="FF000000"/>
      <name val="Times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游ゴシック"/>
      <family val="2"/>
      <scheme val="minor"/>
    </font>
    <font>
      <b/>
      <sz val="11"/>
      <name val="游ゴシック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indexed="8"/>
      <name val="Arial"/>
      <family val="2"/>
    </font>
    <font>
      <vertAlign val="subscript"/>
      <sz val="10"/>
      <color indexed="8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vertAlign val="subscript"/>
      <sz val="10"/>
      <color rgb="FF000000"/>
      <name val="Arial"/>
      <family val="2"/>
    </font>
    <font>
      <b/>
      <sz val="12"/>
      <color theme="1"/>
      <name val="游ゴシック"/>
      <family val="2"/>
      <scheme val="minor"/>
    </font>
    <font>
      <sz val="16"/>
      <color rgb="FF000000"/>
      <name val="Arial"/>
      <family val="2"/>
    </font>
    <font>
      <i/>
      <sz val="16"/>
      <color rgb="FF000000"/>
      <name val="Arial"/>
      <family val="2"/>
    </font>
    <font>
      <sz val="16"/>
      <color rgb="FF000000"/>
      <name val="Arial"/>
      <family val="2"/>
    </font>
    <font>
      <u/>
      <sz val="12"/>
      <color theme="1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6" fontId="0" fillId="4" borderId="0" xfId="0" applyNumberFormat="1" applyFill="1">
      <alignment vertical="center"/>
    </xf>
    <xf numFmtId="176" fontId="0" fillId="0" borderId="0" xfId="0" applyNumberFormat="1">
      <alignment vertical="center"/>
    </xf>
    <xf numFmtId="177" fontId="0" fillId="3" borderId="0" xfId="0" applyNumberFormat="1" applyFill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2" borderId="0" xfId="0" applyFont="1" applyFill="1">
      <alignment vertical="center"/>
    </xf>
    <xf numFmtId="14" fontId="1" fillId="2" borderId="0" xfId="0" applyNumberFormat="1" applyFont="1" applyFill="1">
      <alignment vertical="center"/>
    </xf>
    <xf numFmtId="0" fontId="0" fillId="5" borderId="0" xfId="0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16" fontId="5" fillId="0" borderId="0" xfId="0" applyNumberFormat="1" applyFont="1">
      <alignment vertical="center"/>
    </xf>
    <xf numFmtId="14" fontId="0" fillId="6" borderId="0" xfId="0" applyNumberFormat="1" applyFill="1">
      <alignment vertical="center"/>
    </xf>
    <xf numFmtId="1" fontId="0" fillId="6" borderId="0" xfId="0" applyNumberFormat="1" applyFill="1">
      <alignment vertical="center"/>
    </xf>
    <xf numFmtId="2" fontId="0" fillId="6" borderId="0" xfId="0" applyNumberFormat="1" applyFill="1">
      <alignment vertical="center"/>
    </xf>
    <xf numFmtId="179" fontId="0" fillId="6" borderId="0" xfId="0" applyNumberFormat="1" applyFill="1">
      <alignment vertical="center"/>
    </xf>
    <xf numFmtId="17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>
      <alignment vertical="center"/>
    </xf>
    <xf numFmtId="2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6" borderId="0" xfId="0" applyFill="1" applyAlignment="1">
      <alignment horizontal="right" vertical="center"/>
    </xf>
    <xf numFmtId="2" fontId="0" fillId="6" borderId="0" xfId="0" applyNumberFormat="1" applyFill="1" applyAlignment="1">
      <alignment horizontal="right" vertical="center"/>
    </xf>
    <xf numFmtId="179" fontId="0" fillId="6" borderId="0" xfId="0" applyNumberFormat="1" applyFill="1" applyAlignment="1">
      <alignment horizontal="right" vertical="center"/>
    </xf>
    <xf numFmtId="0" fontId="8" fillId="0" borderId="0" xfId="0" applyFont="1" applyAlignment="1"/>
    <xf numFmtId="14" fontId="5" fillId="0" borderId="0" xfId="0" applyNumberFormat="1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24" fontId="0" fillId="0" borderId="0" xfId="0" applyNumberFormat="1">
      <alignment vertical="center"/>
    </xf>
    <xf numFmtId="0" fontId="14" fillId="0" borderId="0" xfId="0" applyFont="1">
      <alignment vertical="center"/>
    </xf>
    <xf numFmtId="0" fontId="0" fillId="6" borderId="0" xfId="0" applyFill="1">
      <alignment vertical="center"/>
    </xf>
    <xf numFmtId="11" fontId="0" fillId="0" borderId="0" xfId="0" applyNumberForma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/>
    </xf>
    <xf numFmtId="14" fontId="0" fillId="0" borderId="0" xfId="0" applyNumberFormat="1" applyAlignment="1">
      <alignment vertical="center" wrapText="1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/>
    <xf numFmtId="0" fontId="0" fillId="0" borderId="0" xfId="0" applyAlignment="1"/>
    <xf numFmtId="14" fontId="0" fillId="0" borderId="0" xfId="0" applyNumberFormat="1" applyAlignment="1">
      <alignment horizontal="center"/>
    </xf>
    <xf numFmtId="180" fontId="0" fillId="0" borderId="0" xfId="0" applyNumberFormat="1" applyAlignme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180" fontId="21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right"/>
    </xf>
    <xf numFmtId="2" fontId="21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81" fontId="0" fillId="0" borderId="0" xfId="0" applyNumberFormat="1" applyAlignment="1">
      <alignment horizontal="center"/>
    </xf>
    <xf numFmtId="181" fontId="0" fillId="0" borderId="2" xfId="0" applyNumberFormat="1" applyBorder="1" applyAlignment="1">
      <alignment horizontal="center"/>
    </xf>
    <xf numFmtId="181" fontId="0" fillId="0" borderId="6" xfId="0" applyNumberFormat="1" applyBorder="1" applyAlignment="1">
      <alignment horizontal="center"/>
    </xf>
    <xf numFmtId="181" fontId="0" fillId="0" borderId="7" xfId="0" applyNumberFormat="1" applyBorder="1" applyAlignment="1">
      <alignment horizontal="center"/>
    </xf>
    <xf numFmtId="182" fontId="0" fillId="0" borderId="6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79" fontId="0" fillId="0" borderId="0" xfId="0" applyNumberFormat="1" applyAlignment="1">
      <alignment horizontal="center"/>
    </xf>
    <xf numFmtId="179" fontId="0" fillId="0" borderId="8" xfId="0" applyNumberFormat="1" applyBorder="1" applyAlignment="1">
      <alignment horizont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1">
      <alignment vertical="center"/>
    </xf>
    <xf numFmtId="14" fontId="30" fillId="0" borderId="0" xfId="0" applyNumberFormat="1" applyFont="1">
      <alignment vertical="center"/>
    </xf>
    <xf numFmtId="14" fontId="32" fillId="0" borderId="0" xfId="0" applyNumberFormat="1" applyFont="1">
      <alignment vertical="center"/>
    </xf>
    <xf numFmtId="16" fontId="32" fillId="0" borderId="0" xfId="0" applyNumberFormat="1" applyFont="1">
      <alignment vertical="center"/>
    </xf>
    <xf numFmtId="17" fontId="32" fillId="0" borderId="0" xfId="0" applyNumberFormat="1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depth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Sheet2!$C$2:$C$792</c:f>
              <c:numCache>
                <c:formatCode>General</c:formatCode>
                <c:ptCount val="791"/>
                <c:pt idx="0">
                  <c:v>-156.68600000000001</c:v>
                </c:pt>
                <c:pt idx="1">
                  <c:v>-156.68600000000001</c:v>
                </c:pt>
                <c:pt idx="2">
                  <c:v>-156.68600000000001</c:v>
                </c:pt>
                <c:pt idx="3">
                  <c:v>-156.69</c:v>
                </c:pt>
                <c:pt idx="4">
                  <c:v>-156.69</c:v>
                </c:pt>
                <c:pt idx="5">
                  <c:v>-156.69</c:v>
                </c:pt>
                <c:pt idx="6">
                  <c:v>-156.721</c:v>
                </c:pt>
                <c:pt idx="7">
                  <c:v>-156.721</c:v>
                </c:pt>
                <c:pt idx="8">
                  <c:v>-156.721</c:v>
                </c:pt>
                <c:pt idx="9">
                  <c:v>-156.68600000000001</c:v>
                </c:pt>
                <c:pt idx="10">
                  <c:v>-156.68600000000001</c:v>
                </c:pt>
                <c:pt idx="11">
                  <c:v>-156.68600000000001</c:v>
                </c:pt>
                <c:pt idx="12">
                  <c:v>-156.57599999999999</c:v>
                </c:pt>
                <c:pt idx="13">
                  <c:v>-156.57599999999999</c:v>
                </c:pt>
                <c:pt idx="14">
                  <c:v>-156.57599999999999</c:v>
                </c:pt>
                <c:pt idx="15">
                  <c:v>-73.998999999999995</c:v>
                </c:pt>
                <c:pt idx="16">
                  <c:v>-73.998999999999995</c:v>
                </c:pt>
                <c:pt idx="17">
                  <c:v>-73.998999999999995</c:v>
                </c:pt>
                <c:pt idx="18">
                  <c:v>-74.782799999999995</c:v>
                </c:pt>
                <c:pt idx="19">
                  <c:v>-74.782799999999995</c:v>
                </c:pt>
                <c:pt idx="20">
                  <c:v>-74.782799999999995</c:v>
                </c:pt>
                <c:pt idx="21">
                  <c:v>-75.545500000000004</c:v>
                </c:pt>
                <c:pt idx="22">
                  <c:v>-75.545500000000004</c:v>
                </c:pt>
                <c:pt idx="23">
                  <c:v>-75.545500000000004</c:v>
                </c:pt>
                <c:pt idx="24">
                  <c:v>-75.881699999999995</c:v>
                </c:pt>
                <c:pt idx="25">
                  <c:v>-75.881699999999995</c:v>
                </c:pt>
                <c:pt idx="26">
                  <c:v>-75.881699999999995</c:v>
                </c:pt>
                <c:pt idx="27">
                  <c:v>-74.702500000000001</c:v>
                </c:pt>
                <c:pt idx="28">
                  <c:v>-74.702500000000001</c:v>
                </c:pt>
                <c:pt idx="29">
                  <c:v>-74.702500000000001</c:v>
                </c:pt>
                <c:pt idx="30">
                  <c:v>-73.800299999999993</c:v>
                </c:pt>
                <c:pt idx="31">
                  <c:v>-73.800299999999993</c:v>
                </c:pt>
                <c:pt idx="32">
                  <c:v>-73.800299999999993</c:v>
                </c:pt>
                <c:pt idx="33">
                  <c:v>-73.7453</c:v>
                </c:pt>
                <c:pt idx="34">
                  <c:v>-73.7453</c:v>
                </c:pt>
                <c:pt idx="35">
                  <c:v>-73.7453</c:v>
                </c:pt>
                <c:pt idx="36">
                  <c:v>-74.215699999999998</c:v>
                </c:pt>
                <c:pt idx="37">
                  <c:v>-74.215699999999998</c:v>
                </c:pt>
                <c:pt idx="38">
                  <c:v>-74.215699999999998</c:v>
                </c:pt>
                <c:pt idx="39">
                  <c:v>-75.642700000000005</c:v>
                </c:pt>
                <c:pt idx="40">
                  <c:v>-75.642700000000005</c:v>
                </c:pt>
                <c:pt idx="41">
                  <c:v>-75.642700000000005</c:v>
                </c:pt>
                <c:pt idx="42">
                  <c:v>-75.366500000000002</c:v>
                </c:pt>
                <c:pt idx="43">
                  <c:v>-75.366500000000002</c:v>
                </c:pt>
                <c:pt idx="44">
                  <c:v>-75.366500000000002</c:v>
                </c:pt>
                <c:pt idx="45">
                  <c:v>-74.360500000000002</c:v>
                </c:pt>
                <c:pt idx="46">
                  <c:v>-74.360500000000002</c:v>
                </c:pt>
                <c:pt idx="47">
                  <c:v>-74.360500000000002</c:v>
                </c:pt>
                <c:pt idx="48">
                  <c:v>-73.370800000000003</c:v>
                </c:pt>
                <c:pt idx="49">
                  <c:v>-73.370800000000003</c:v>
                </c:pt>
                <c:pt idx="50">
                  <c:v>-73.370800000000003</c:v>
                </c:pt>
                <c:pt idx="51">
                  <c:v>-73.917000000000002</c:v>
                </c:pt>
                <c:pt idx="52">
                  <c:v>-73.917000000000002</c:v>
                </c:pt>
                <c:pt idx="53">
                  <c:v>-73.917000000000002</c:v>
                </c:pt>
                <c:pt idx="54">
                  <c:v>-74.8643</c:v>
                </c:pt>
                <c:pt idx="55">
                  <c:v>-74.8643</c:v>
                </c:pt>
                <c:pt idx="56">
                  <c:v>-75.682000000000002</c:v>
                </c:pt>
                <c:pt idx="57">
                  <c:v>-75.682000000000002</c:v>
                </c:pt>
                <c:pt idx="58">
                  <c:v>-75.682000000000002</c:v>
                </c:pt>
                <c:pt idx="59">
                  <c:v>-78.584800000000001</c:v>
                </c:pt>
                <c:pt idx="60">
                  <c:v>-78.584800000000001</c:v>
                </c:pt>
                <c:pt idx="61">
                  <c:v>-78.584800000000001</c:v>
                </c:pt>
                <c:pt idx="62">
                  <c:v>-77.531700000000001</c:v>
                </c:pt>
                <c:pt idx="63">
                  <c:v>-77.531700000000001</c:v>
                </c:pt>
                <c:pt idx="64">
                  <c:v>-77.531700000000001</c:v>
                </c:pt>
                <c:pt idx="65">
                  <c:v>-76.533000000000001</c:v>
                </c:pt>
                <c:pt idx="66">
                  <c:v>-76.533000000000001</c:v>
                </c:pt>
                <c:pt idx="67">
                  <c:v>-76.533000000000001</c:v>
                </c:pt>
                <c:pt idx="68">
                  <c:v>-76.116799999999998</c:v>
                </c:pt>
                <c:pt idx="69">
                  <c:v>-76.116799999999998</c:v>
                </c:pt>
                <c:pt idx="70">
                  <c:v>-76.116799999999998</c:v>
                </c:pt>
                <c:pt idx="71">
                  <c:v>-75.616100000000003</c:v>
                </c:pt>
                <c:pt idx="72">
                  <c:v>-75.616100000000003</c:v>
                </c:pt>
                <c:pt idx="73">
                  <c:v>-75.330500000000001</c:v>
                </c:pt>
                <c:pt idx="74">
                  <c:v>-75.330500000000001</c:v>
                </c:pt>
                <c:pt idx="75">
                  <c:v>-75.844099999999997</c:v>
                </c:pt>
                <c:pt idx="76">
                  <c:v>-75.844099999999997</c:v>
                </c:pt>
                <c:pt idx="77">
                  <c:v>-76.252300000000005</c:v>
                </c:pt>
                <c:pt idx="78">
                  <c:v>-76.252300000000005</c:v>
                </c:pt>
                <c:pt idx="79">
                  <c:v>-77.369500000000002</c:v>
                </c:pt>
                <c:pt idx="80">
                  <c:v>-77.369500000000002</c:v>
                </c:pt>
                <c:pt idx="81">
                  <c:v>-77.369500000000002</c:v>
                </c:pt>
                <c:pt idx="82">
                  <c:v>-76.400300000000001</c:v>
                </c:pt>
                <c:pt idx="83">
                  <c:v>-76.400300000000001</c:v>
                </c:pt>
                <c:pt idx="84">
                  <c:v>-76.400300000000001</c:v>
                </c:pt>
                <c:pt idx="85">
                  <c:v>-75.465500000000006</c:v>
                </c:pt>
                <c:pt idx="86">
                  <c:v>-75.465500000000006</c:v>
                </c:pt>
                <c:pt idx="87">
                  <c:v>-75.465500000000006</c:v>
                </c:pt>
                <c:pt idx="88">
                  <c:v>-75.465500000000006</c:v>
                </c:pt>
                <c:pt idx="89">
                  <c:v>-74.539100000000005</c:v>
                </c:pt>
                <c:pt idx="90">
                  <c:v>-74.539100000000005</c:v>
                </c:pt>
                <c:pt idx="91">
                  <c:v>-74.539100000000005</c:v>
                </c:pt>
                <c:pt idx="92">
                  <c:v>-174.71350000000001</c:v>
                </c:pt>
                <c:pt idx="93">
                  <c:v>-174.71350000000001</c:v>
                </c:pt>
                <c:pt idx="94">
                  <c:v>-174.71350000000001</c:v>
                </c:pt>
                <c:pt idx="95">
                  <c:v>-174.66200000000001</c:v>
                </c:pt>
                <c:pt idx="96">
                  <c:v>-174.66200000000001</c:v>
                </c:pt>
                <c:pt idx="97">
                  <c:v>-174.66200000000001</c:v>
                </c:pt>
                <c:pt idx="98">
                  <c:v>-174.66200000000001</c:v>
                </c:pt>
                <c:pt idx="99">
                  <c:v>-174.66200000000001</c:v>
                </c:pt>
                <c:pt idx="100">
                  <c:v>-170.16249999999999</c:v>
                </c:pt>
                <c:pt idx="101">
                  <c:v>-170.16249999999999</c:v>
                </c:pt>
                <c:pt idx="102">
                  <c:v>-170.16249999999999</c:v>
                </c:pt>
                <c:pt idx="103">
                  <c:v>-170.16229999999999</c:v>
                </c:pt>
                <c:pt idx="104">
                  <c:v>-170.16229999999999</c:v>
                </c:pt>
                <c:pt idx="105">
                  <c:v>-170.16229999999999</c:v>
                </c:pt>
                <c:pt idx="106">
                  <c:v>-170.16229999999999</c:v>
                </c:pt>
                <c:pt idx="107">
                  <c:v>-170.16229999999999</c:v>
                </c:pt>
                <c:pt idx="108">
                  <c:v>-170.06786</c:v>
                </c:pt>
                <c:pt idx="109">
                  <c:v>-170.07130000000001</c:v>
                </c:pt>
                <c:pt idx="110">
                  <c:v>-170.07130000000001</c:v>
                </c:pt>
                <c:pt idx="111">
                  <c:v>-170.07130000000001</c:v>
                </c:pt>
                <c:pt idx="112">
                  <c:v>-170.0712</c:v>
                </c:pt>
                <c:pt idx="113">
                  <c:v>-170.0712</c:v>
                </c:pt>
                <c:pt idx="114">
                  <c:v>-170.0712</c:v>
                </c:pt>
                <c:pt idx="115">
                  <c:v>-170.0712</c:v>
                </c:pt>
                <c:pt idx="116">
                  <c:v>-170.0712</c:v>
                </c:pt>
                <c:pt idx="117">
                  <c:v>-169.25219999999999</c:v>
                </c:pt>
                <c:pt idx="118">
                  <c:v>-169.25219999999999</c:v>
                </c:pt>
                <c:pt idx="119">
                  <c:v>-169.25219999999999</c:v>
                </c:pt>
                <c:pt idx="120">
                  <c:v>-169.25219999999999</c:v>
                </c:pt>
                <c:pt idx="121">
                  <c:v>-169.25219999999999</c:v>
                </c:pt>
                <c:pt idx="122">
                  <c:v>-169.25219999999999</c:v>
                </c:pt>
                <c:pt idx="123">
                  <c:v>-169.25219999999999</c:v>
                </c:pt>
                <c:pt idx="124">
                  <c:v>-169.25219999999999</c:v>
                </c:pt>
                <c:pt idx="125">
                  <c:v>-169.25219999999999</c:v>
                </c:pt>
                <c:pt idx="126">
                  <c:v>-169.25219999999999</c:v>
                </c:pt>
                <c:pt idx="127">
                  <c:v>-168.83330000000001</c:v>
                </c:pt>
                <c:pt idx="128">
                  <c:v>-168.83330000000001</c:v>
                </c:pt>
                <c:pt idx="129">
                  <c:v>-168.83330000000001</c:v>
                </c:pt>
                <c:pt idx="130">
                  <c:v>-168.83330000000001</c:v>
                </c:pt>
                <c:pt idx="131">
                  <c:v>-168.83330000000001</c:v>
                </c:pt>
                <c:pt idx="132">
                  <c:v>-168.83330000000001</c:v>
                </c:pt>
                <c:pt idx="133">
                  <c:v>-168.83330000000001</c:v>
                </c:pt>
                <c:pt idx="134">
                  <c:v>-168.83330000000001</c:v>
                </c:pt>
                <c:pt idx="135">
                  <c:v>-168.83320000000001</c:v>
                </c:pt>
                <c:pt idx="136">
                  <c:v>-168.83320000000001</c:v>
                </c:pt>
                <c:pt idx="137">
                  <c:v>-169.18520000000001</c:v>
                </c:pt>
                <c:pt idx="138">
                  <c:v>-169.18520000000001</c:v>
                </c:pt>
                <c:pt idx="139">
                  <c:v>-169.18520000000001</c:v>
                </c:pt>
                <c:pt idx="140">
                  <c:v>-169.18520000000001</c:v>
                </c:pt>
                <c:pt idx="141">
                  <c:v>-169.18520000000001</c:v>
                </c:pt>
                <c:pt idx="142">
                  <c:v>-169.18520000000001</c:v>
                </c:pt>
                <c:pt idx="143">
                  <c:v>-169.18520000000001</c:v>
                </c:pt>
                <c:pt idx="144">
                  <c:v>-169.18770000000001</c:v>
                </c:pt>
                <c:pt idx="145">
                  <c:v>-169.18770000000001</c:v>
                </c:pt>
                <c:pt idx="146">
                  <c:v>-169.18770000000001</c:v>
                </c:pt>
                <c:pt idx="147">
                  <c:v>-169.18770000000001</c:v>
                </c:pt>
                <c:pt idx="148">
                  <c:v>-169.18770000000001</c:v>
                </c:pt>
                <c:pt idx="149">
                  <c:v>-169.18770000000001</c:v>
                </c:pt>
                <c:pt idx="150">
                  <c:v>-169.18770000000001</c:v>
                </c:pt>
                <c:pt idx="151">
                  <c:v>-169.18770000000001</c:v>
                </c:pt>
                <c:pt idx="152">
                  <c:v>-169.286</c:v>
                </c:pt>
                <c:pt idx="153">
                  <c:v>-169.286</c:v>
                </c:pt>
                <c:pt idx="154">
                  <c:v>-169.286</c:v>
                </c:pt>
                <c:pt idx="155">
                  <c:v>-169.2775</c:v>
                </c:pt>
                <c:pt idx="156">
                  <c:v>-169.2775</c:v>
                </c:pt>
                <c:pt idx="157">
                  <c:v>-169.2775</c:v>
                </c:pt>
                <c:pt idx="158">
                  <c:v>-169.2775</c:v>
                </c:pt>
                <c:pt idx="159">
                  <c:v>-169.2775</c:v>
                </c:pt>
                <c:pt idx="160">
                  <c:v>-169.8503</c:v>
                </c:pt>
                <c:pt idx="161">
                  <c:v>-169.8503</c:v>
                </c:pt>
                <c:pt idx="162">
                  <c:v>-169.8477</c:v>
                </c:pt>
                <c:pt idx="163">
                  <c:v>-169.8477</c:v>
                </c:pt>
                <c:pt idx="164">
                  <c:v>-169.8477</c:v>
                </c:pt>
                <c:pt idx="165">
                  <c:v>-169.8477</c:v>
                </c:pt>
                <c:pt idx="166">
                  <c:v>-169.8477</c:v>
                </c:pt>
                <c:pt idx="167">
                  <c:v>-169.82633999999999</c:v>
                </c:pt>
                <c:pt idx="168">
                  <c:v>-169.82633999999999</c:v>
                </c:pt>
                <c:pt idx="169">
                  <c:v>-169.82633999999999</c:v>
                </c:pt>
                <c:pt idx="170">
                  <c:v>-169.82633999999999</c:v>
                </c:pt>
                <c:pt idx="171">
                  <c:v>-169.82633999999999</c:v>
                </c:pt>
                <c:pt idx="172">
                  <c:v>-169.82633999999999</c:v>
                </c:pt>
                <c:pt idx="173">
                  <c:v>-169.82633999999999</c:v>
                </c:pt>
                <c:pt idx="174">
                  <c:v>-169.82633999999999</c:v>
                </c:pt>
                <c:pt idx="175">
                  <c:v>-169.82633999999999</c:v>
                </c:pt>
                <c:pt idx="176">
                  <c:v>-169.82633999999999</c:v>
                </c:pt>
                <c:pt idx="177">
                  <c:v>-169.82633999999999</c:v>
                </c:pt>
                <c:pt idx="178">
                  <c:v>-169.82633999999999</c:v>
                </c:pt>
                <c:pt idx="179">
                  <c:v>-169.83320000000001</c:v>
                </c:pt>
                <c:pt idx="180">
                  <c:v>-169.83320000000001</c:v>
                </c:pt>
                <c:pt idx="181">
                  <c:v>-169.83320000000001</c:v>
                </c:pt>
                <c:pt idx="182">
                  <c:v>-169.83320000000001</c:v>
                </c:pt>
                <c:pt idx="183">
                  <c:v>-169.83320000000001</c:v>
                </c:pt>
                <c:pt idx="184">
                  <c:v>-169.83320000000001</c:v>
                </c:pt>
                <c:pt idx="185">
                  <c:v>-169.83320000000001</c:v>
                </c:pt>
                <c:pt idx="186">
                  <c:v>-169.83320000000001</c:v>
                </c:pt>
                <c:pt idx="187">
                  <c:v>-169.83029999999999</c:v>
                </c:pt>
                <c:pt idx="188">
                  <c:v>-169.83029999999999</c:v>
                </c:pt>
                <c:pt idx="189">
                  <c:v>-169.83029999999999</c:v>
                </c:pt>
                <c:pt idx="190">
                  <c:v>-169.83029999999999</c:v>
                </c:pt>
                <c:pt idx="191">
                  <c:v>-169.83029999999999</c:v>
                </c:pt>
                <c:pt idx="192">
                  <c:v>-171.73670000000001</c:v>
                </c:pt>
                <c:pt idx="193">
                  <c:v>-171.73670000000001</c:v>
                </c:pt>
                <c:pt idx="194">
                  <c:v>-171.73670000000001</c:v>
                </c:pt>
                <c:pt idx="195">
                  <c:v>-171.73670000000001</c:v>
                </c:pt>
                <c:pt idx="196">
                  <c:v>-171.73670000000001</c:v>
                </c:pt>
                <c:pt idx="197">
                  <c:v>-171.74430000000001</c:v>
                </c:pt>
                <c:pt idx="198">
                  <c:v>-171.74430000000001</c:v>
                </c:pt>
                <c:pt idx="199">
                  <c:v>-171.74430000000001</c:v>
                </c:pt>
                <c:pt idx="200">
                  <c:v>-171.75399999999999</c:v>
                </c:pt>
                <c:pt idx="201">
                  <c:v>-171.75399999999999</c:v>
                </c:pt>
                <c:pt idx="202">
                  <c:v>-171.75399999999999</c:v>
                </c:pt>
                <c:pt idx="203">
                  <c:v>-171.75399999999999</c:v>
                </c:pt>
                <c:pt idx="204">
                  <c:v>-171.75399999999999</c:v>
                </c:pt>
                <c:pt idx="205">
                  <c:v>-173.33369999999999</c:v>
                </c:pt>
                <c:pt idx="206">
                  <c:v>-173.33369999999999</c:v>
                </c:pt>
                <c:pt idx="207">
                  <c:v>-173.33369999999999</c:v>
                </c:pt>
                <c:pt idx="208">
                  <c:v>-173.33369999999999</c:v>
                </c:pt>
                <c:pt idx="209">
                  <c:v>-173.33369999999999</c:v>
                </c:pt>
                <c:pt idx="210">
                  <c:v>-173.33369999999999</c:v>
                </c:pt>
                <c:pt idx="211">
                  <c:v>-173.33330000000001</c:v>
                </c:pt>
                <c:pt idx="212">
                  <c:v>-173.33330000000001</c:v>
                </c:pt>
                <c:pt idx="213">
                  <c:v>-173.33330000000001</c:v>
                </c:pt>
                <c:pt idx="214">
                  <c:v>-173.33330000000001</c:v>
                </c:pt>
                <c:pt idx="215">
                  <c:v>-173.33330000000001</c:v>
                </c:pt>
                <c:pt idx="216">
                  <c:v>-173.33330000000001</c:v>
                </c:pt>
                <c:pt idx="217">
                  <c:v>-173.33330000000001</c:v>
                </c:pt>
                <c:pt idx="218">
                  <c:v>-173.33330000000001</c:v>
                </c:pt>
                <c:pt idx="219">
                  <c:v>-174.7217</c:v>
                </c:pt>
                <c:pt idx="220">
                  <c:v>-174.7217</c:v>
                </c:pt>
                <c:pt idx="221">
                  <c:v>-174.7217</c:v>
                </c:pt>
                <c:pt idx="222">
                  <c:v>-174.7217</c:v>
                </c:pt>
                <c:pt idx="223">
                  <c:v>-174.6173</c:v>
                </c:pt>
                <c:pt idx="224">
                  <c:v>-174.6173</c:v>
                </c:pt>
                <c:pt idx="225">
                  <c:v>-174.6173</c:v>
                </c:pt>
                <c:pt idx="226">
                  <c:v>-174.5872</c:v>
                </c:pt>
                <c:pt idx="227">
                  <c:v>-174.5872</c:v>
                </c:pt>
                <c:pt idx="228">
                  <c:v>-174.5872</c:v>
                </c:pt>
                <c:pt idx="229">
                  <c:v>-174.5872</c:v>
                </c:pt>
                <c:pt idx="230">
                  <c:v>-174.5872</c:v>
                </c:pt>
                <c:pt idx="231">
                  <c:v>-174.73164</c:v>
                </c:pt>
                <c:pt idx="232">
                  <c:v>-174.73164</c:v>
                </c:pt>
                <c:pt idx="233">
                  <c:v>-174.73164</c:v>
                </c:pt>
                <c:pt idx="234">
                  <c:v>-174.73164</c:v>
                </c:pt>
                <c:pt idx="235">
                  <c:v>-174.73164</c:v>
                </c:pt>
                <c:pt idx="236">
                  <c:v>-174.73164</c:v>
                </c:pt>
                <c:pt idx="237">
                  <c:v>-174.73164</c:v>
                </c:pt>
                <c:pt idx="238">
                  <c:v>-174.73164</c:v>
                </c:pt>
                <c:pt idx="239">
                  <c:v>-170.16641000000001</c:v>
                </c:pt>
                <c:pt idx="240">
                  <c:v>-170.16641000000001</c:v>
                </c:pt>
                <c:pt idx="241">
                  <c:v>-170.16641000000001</c:v>
                </c:pt>
                <c:pt idx="242">
                  <c:v>-170.16641000000001</c:v>
                </c:pt>
                <c:pt idx="243">
                  <c:v>-170.16641000000001</c:v>
                </c:pt>
                <c:pt idx="244">
                  <c:v>-170.16641000000001</c:v>
                </c:pt>
                <c:pt idx="245">
                  <c:v>-170.16641000000001</c:v>
                </c:pt>
                <c:pt idx="246">
                  <c:v>-170.16641000000001</c:v>
                </c:pt>
                <c:pt idx="247">
                  <c:v>-170.16646</c:v>
                </c:pt>
                <c:pt idx="248">
                  <c:v>-170.16646</c:v>
                </c:pt>
                <c:pt idx="249">
                  <c:v>-170.16646</c:v>
                </c:pt>
                <c:pt idx="250">
                  <c:v>-170.16646</c:v>
                </c:pt>
                <c:pt idx="251">
                  <c:v>-169.99977000000001</c:v>
                </c:pt>
                <c:pt idx="252">
                  <c:v>-169.99977000000001</c:v>
                </c:pt>
                <c:pt idx="253">
                  <c:v>-169.99977000000001</c:v>
                </c:pt>
                <c:pt idx="254">
                  <c:v>-169.99977000000001</c:v>
                </c:pt>
                <c:pt idx="255">
                  <c:v>-169.99977000000001</c:v>
                </c:pt>
                <c:pt idx="256">
                  <c:v>-169.99977000000001</c:v>
                </c:pt>
                <c:pt idx="257">
                  <c:v>-169.99977000000001</c:v>
                </c:pt>
                <c:pt idx="258">
                  <c:v>-169.99977000000001</c:v>
                </c:pt>
                <c:pt idx="259">
                  <c:v>-170.06671</c:v>
                </c:pt>
                <c:pt idx="260">
                  <c:v>-170.06671</c:v>
                </c:pt>
                <c:pt idx="261">
                  <c:v>-170.06671</c:v>
                </c:pt>
                <c:pt idx="262">
                  <c:v>-170.06671</c:v>
                </c:pt>
                <c:pt idx="263">
                  <c:v>-170.06671</c:v>
                </c:pt>
                <c:pt idx="264">
                  <c:v>-170.06671</c:v>
                </c:pt>
                <c:pt idx="265">
                  <c:v>-170.06671</c:v>
                </c:pt>
                <c:pt idx="266">
                  <c:v>-170.06671</c:v>
                </c:pt>
                <c:pt idx="267">
                  <c:v>-170.0667</c:v>
                </c:pt>
                <c:pt idx="268">
                  <c:v>-170.0667</c:v>
                </c:pt>
                <c:pt idx="269">
                  <c:v>-170.0667</c:v>
                </c:pt>
                <c:pt idx="270">
                  <c:v>-170.0667</c:v>
                </c:pt>
                <c:pt idx="271">
                  <c:v>-169.88329999999999</c:v>
                </c:pt>
                <c:pt idx="272">
                  <c:v>-169.88329999999999</c:v>
                </c:pt>
                <c:pt idx="273">
                  <c:v>-169.88329999999999</c:v>
                </c:pt>
                <c:pt idx="274">
                  <c:v>-169.33311</c:v>
                </c:pt>
                <c:pt idx="275">
                  <c:v>-169.33311</c:v>
                </c:pt>
                <c:pt idx="276">
                  <c:v>-169.33311</c:v>
                </c:pt>
                <c:pt idx="277">
                  <c:v>-169.33311</c:v>
                </c:pt>
                <c:pt idx="278">
                  <c:v>-169.33311</c:v>
                </c:pt>
                <c:pt idx="279">
                  <c:v>-169.33311</c:v>
                </c:pt>
                <c:pt idx="280">
                  <c:v>-169.33311</c:v>
                </c:pt>
                <c:pt idx="281">
                  <c:v>-169.33311</c:v>
                </c:pt>
                <c:pt idx="282">
                  <c:v>-168.67171999999999</c:v>
                </c:pt>
                <c:pt idx="283">
                  <c:v>-168.67171999999999</c:v>
                </c:pt>
                <c:pt idx="284">
                  <c:v>-168.67171999999999</c:v>
                </c:pt>
                <c:pt idx="285">
                  <c:v>-168.67171999999999</c:v>
                </c:pt>
                <c:pt idx="286">
                  <c:v>-168.36736999999999</c:v>
                </c:pt>
                <c:pt idx="287">
                  <c:v>-168.36736999999999</c:v>
                </c:pt>
                <c:pt idx="288">
                  <c:v>-168.36736999999999</c:v>
                </c:pt>
                <c:pt idx="289">
                  <c:v>-168.36736999999999</c:v>
                </c:pt>
                <c:pt idx="290">
                  <c:v>-168.36736999999999</c:v>
                </c:pt>
                <c:pt idx="291">
                  <c:v>-168.36736999999999</c:v>
                </c:pt>
                <c:pt idx="292">
                  <c:v>-168.36736999999999</c:v>
                </c:pt>
                <c:pt idx="293">
                  <c:v>-168.36736999999999</c:v>
                </c:pt>
                <c:pt idx="294">
                  <c:v>-165.91478000000001</c:v>
                </c:pt>
                <c:pt idx="295">
                  <c:v>-165.91478000000001</c:v>
                </c:pt>
                <c:pt idx="296">
                  <c:v>-165.91478000000001</c:v>
                </c:pt>
                <c:pt idx="297">
                  <c:v>-165.91478000000001</c:v>
                </c:pt>
                <c:pt idx="298">
                  <c:v>-165.91478000000001</c:v>
                </c:pt>
                <c:pt idx="299">
                  <c:v>-165.91478000000001</c:v>
                </c:pt>
                <c:pt idx="300">
                  <c:v>-165.91478000000001</c:v>
                </c:pt>
                <c:pt idx="301">
                  <c:v>-165.91478000000001</c:v>
                </c:pt>
                <c:pt idx="302">
                  <c:v>-165.95740000000001</c:v>
                </c:pt>
                <c:pt idx="303">
                  <c:v>-165.95740000000001</c:v>
                </c:pt>
                <c:pt idx="304">
                  <c:v>-165.95740000000001</c:v>
                </c:pt>
                <c:pt idx="305">
                  <c:v>-165.95740000000001</c:v>
                </c:pt>
                <c:pt idx="306">
                  <c:v>-165.95740000000001</c:v>
                </c:pt>
                <c:pt idx="307">
                  <c:v>-165.95740000000001</c:v>
                </c:pt>
                <c:pt idx="308">
                  <c:v>-165.95740000000001</c:v>
                </c:pt>
                <c:pt idx="309">
                  <c:v>-165.95740000000001</c:v>
                </c:pt>
                <c:pt idx="310">
                  <c:v>-168.36668</c:v>
                </c:pt>
                <c:pt idx="311">
                  <c:v>-168.36668</c:v>
                </c:pt>
                <c:pt idx="312">
                  <c:v>-168.36668</c:v>
                </c:pt>
                <c:pt idx="313">
                  <c:v>-168.36668</c:v>
                </c:pt>
                <c:pt idx="314">
                  <c:v>-168.36668</c:v>
                </c:pt>
                <c:pt idx="315">
                  <c:v>-168.36668</c:v>
                </c:pt>
                <c:pt idx="316">
                  <c:v>-168.36668</c:v>
                </c:pt>
                <c:pt idx="317">
                  <c:v>-168.36668</c:v>
                </c:pt>
                <c:pt idx="318">
                  <c:v>-168.36668</c:v>
                </c:pt>
                <c:pt idx="319">
                  <c:v>-168.36668</c:v>
                </c:pt>
                <c:pt idx="320">
                  <c:v>-168.36668</c:v>
                </c:pt>
                <c:pt idx="321">
                  <c:v>-168.36668</c:v>
                </c:pt>
                <c:pt idx="322">
                  <c:v>-168.36668</c:v>
                </c:pt>
                <c:pt idx="323">
                  <c:v>-168.36668</c:v>
                </c:pt>
                <c:pt idx="324">
                  <c:v>-168.36668</c:v>
                </c:pt>
                <c:pt idx="325">
                  <c:v>-170.00017</c:v>
                </c:pt>
                <c:pt idx="326">
                  <c:v>-170.00017</c:v>
                </c:pt>
                <c:pt idx="327">
                  <c:v>-170.00017</c:v>
                </c:pt>
                <c:pt idx="328">
                  <c:v>-170.00017</c:v>
                </c:pt>
                <c:pt idx="329">
                  <c:v>-170.00017</c:v>
                </c:pt>
                <c:pt idx="330">
                  <c:v>-170.00017</c:v>
                </c:pt>
                <c:pt idx="331">
                  <c:v>-170.00017</c:v>
                </c:pt>
                <c:pt idx="332">
                  <c:v>-170.00017</c:v>
                </c:pt>
                <c:pt idx="333">
                  <c:v>-169.67157</c:v>
                </c:pt>
                <c:pt idx="334">
                  <c:v>-169.67157</c:v>
                </c:pt>
                <c:pt idx="335">
                  <c:v>-169.67157</c:v>
                </c:pt>
                <c:pt idx="336">
                  <c:v>-169.67157</c:v>
                </c:pt>
                <c:pt idx="337">
                  <c:v>-169.67157</c:v>
                </c:pt>
                <c:pt idx="338">
                  <c:v>-169.67157</c:v>
                </c:pt>
                <c:pt idx="339">
                  <c:v>-169.67157</c:v>
                </c:pt>
                <c:pt idx="340">
                  <c:v>-169.67157</c:v>
                </c:pt>
                <c:pt idx="341">
                  <c:v>-169.33341999999999</c:v>
                </c:pt>
                <c:pt idx="342">
                  <c:v>-169.33341999999999</c:v>
                </c:pt>
                <c:pt idx="343">
                  <c:v>-169.33341999999999</c:v>
                </c:pt>
                <c:pt idx="344">
                  <c:v>-169.33341999999999</c:v>
                </c:pt>
                <c:pt idx="345">
                  <c:v>-169.33341999999999</c:v>
                </c:pt>
                <c:pt idx="346">
                  <c:v>-169.33341999999999</c:v>
                </c:pt>
                <c:pt idx="347">
                  <c:v>-169.33341999999999</c:v>
                </c:pt>
                <c:pt idx="348">
                  <c:v>-169.33341999999999</c:v>
                </c:pt>
                <c:pt idx="349">
                  <c:v>-169.88337999999999</c:v>
                </c:pt>
                <c:pt idx="350">
                  <c:v>-169.88337999999999</c:v>
                </c:pt>
                <c:pt idx="351">
                  <c:v>-169.88337999999999</c:v>
                </c:pt>
                <c:pt idx="352">
                  <c:v>-169.88337999999999</c:v>
                </c:pt>
                <c:pt idx="353">
                  <c:v>-170.10026999999999</c:v>
                </c:pt>
                <c:pt idx="354">
                  <c:v>-170.10026999999999</c:v>
                </c:pt>
                <c:pt idx="355">
                  <c:v>-170.10026999999999</c:v>
                </c:pt>
                <c:pt idx="356">
                  <c:v>-170.10026999999999</c:v>
                </c:pt>
                <c:pt idx="357">
                  <c:v>-170.10026999999999</c:v>
                </c:pt>
                <c:pt idx="358">
                  <c:v>-170.10026999999999</c:v>
                </c:pt>
                <c:pt idx="359">
                  <c:v>-170.10026999999999</c:v>
                </c:pt>
                <c:pt idx="360">
                  <c:v>-170.10026999999999</c:v>
                </c:pt>
                <c:pt idx="361">
                  <c:v>-170.09926999999999</c:v>
                </c:pt>
                <c:pt idx="362">
                  <c:v>-170.09926999999999</c:v>
                </c:pt>
                <c:pt idx="363">
                  <c:v>-170.09926999999999</c:v>
                </c:pt>
                <c:pt idx="364">
                  <c:v>-170.09926999999999</c:v>
                </c:pt>
                <c:pt idx="365">
                  <c:v>-170.09926999999999</c:v>
                </c:pt>
                <c:pt idx="366">
                  <c:v>-173.33348000000001</c:v>
                </c:pt>
                <c:pt idx="367">
                  <c:v>-173.33348000000001</c:v>
                </c:pt>
                <c:pt idx="368">
                  <c:v>-173.33348000000001</c:v>
                </c:pt>
                <c:pt idx="369">
                  <c:v>-173.33348000000001</c:v>
                </c:pt>
                <c:pt idx="370">
                  <c:v>-173.33348000000001</c:v>
                </c:pt>
                <c:pt idx="371">
                  <c:v>-173.33348000000001</c:v>
                </c:pt>
                <c:pt idx="372">
                  <c:v>-173.33348000000001</c:v>
                </c:pt>
                <c:pt idx="373">
                  <c:v>59.879600000000003</c:v>
                </c:pt>
                <c:pt idx="374">
                  <c:v>59.879600000000003</c:v>
                </c:pt>
                <c:pt idx="375">
                  <c:v>61.180799999999998</c:v>
                </c:pt>
                <c:pt idx="376">
                  <c:v>61.180799999999998</c:v>
                </c:pt>
                <c:pt idx="377">
                  <c:v>61.180799999999998</c:v>
                </c:pt>
                <c:pt idx="378">
                  <c:v>61.180799999999998</c:v>
                </c:pt>
                <c:pt idx="379">
                  <c:v>61.180799999999998</c:v>
                </c:pt>
                <c:pt idx="380">
                  <c:v>61.180799999999998</c:v>
                </c:pt>
                <c:pt idx="381">
                  <c:v>61.180799999999998</c:v>
                </c:pt>
                <c:pt idx="382">
                  <c:v>62.404800000000002</c:v>
                </c:pt>
                <c:pt idx="383">
                  <c:v>62.404800000000002</c:v>
                </c:pt>
                <c:pt idx="384">
                  <c:v>62.404800000000002</c:v>
                </c:pt>
                <c:pt idx="385">
                  <c:v>62.404800000000002</c:v>
                </c:pt>
                <c:pt idx="386">
                  <c:v>62.404800000000002</c:v>
                </c:pt>
                <c:pt idx="387">
                  <c:v>62.404800000000002</c:v>
                </c:pt>
                <c:pt idx="388">
                  <c:v>62.404800000000002</c:v>
                </c:pt>
                <c:pt idx="389">
                  <c:v>63.541800000000002</c:v>
                </c:pt>
                <c:pt idx="390">
                  <c:v>63.541800000000002</c:v>
                </c:pt>
                <c:pt idx="391">
                  <c:v>63.541800000000002</c:v>
                </c:pt>
                <c:pt idx="392">
                  <c:v>63.541800000000002</c:v>
                </c:pt>
                <c:pt idx="393">
                  <c:v>63.541800000000002</c:v>
                </c:pt>
                <c:pt idx="394">
                  <c:v>63.541800000000002</c:v>
                </c:pt>
                <c:pt idx="395">
                  <c:v>63.541800000000002</c:v>
                </c:pt>
                <c:pt idx="396">
                  <c:v>64.655100000000004</c:v>
                </c:pt>
                <c:pt idx="397">
                  <c:v>64.655100000000004</c:v>
                </c:pt>
                <c:pt idx="398">
                  <c:v>64.655100000000004</c:v>
                </c:pt>
                <c:pt idx="399">
                  <c:v>64.655100000000004</c:v>
                </c:pt>
                <c:pt idx="400">
                  <c:v>64.655100000000004</c:v>
                </c:pt>
                <c:pt idx="401">
                  <c:v>64.655100000000004</c:v>
                </c:pt>
                <c:pt idx="402">
                  <c:v>64.655100000000004</c:v>
                </c:pt>
                <c:pt idx="403">
                  <c:v>64.655100000000004</c:v>
                </c:pt>
                <c:pt idx="404">
                  <c:v>65.884</c:v>
                </c:pt>
                <c:pt idx="405">
                  <c:v>65.884</c:v>
                </c:pt>
                <c:pt idx="406">
                  <c:v>65.884</c:v>
                </c:pt>
                <c:pt idx="407">
                  <c:v>65.884</c:v>
                </c:pt>
                <c:pt idx="408">
                  <c:v>65.884</c:v>
                </c:pt>
                <c:pt idx="409">
                  <c:v>65.884</c:v>
                </c:pt>
                <c:pt idx="410">
                  <c:v>65.884</c:v>
                </c:pt>
                <c:pt idx="411">
                  <c:v>65.884</c:v>
                </c:pt>
                <c:pt idx="412">
                  <c:v>67.166399999999996</c:v>
                </c:pt>
                <c:pt idx="413">
                  <c:v>67.166399999999996</c:v>
                </c:pt>
                <c:pt idx="414">
                  <c:v>67.166399999999996</c:v>
                </c:pt>
                <c:pt idx="415">
                  <c:v>67.166399999999996</c:v>
                </c:pt>
                <c:pt idx="416">
                  <c:v>67.166399999999996</c:v>
                </c:pt>
                <c:pt idx="417">
                  <c:v>67.166399999999996</c:v>
                </c:pt>
                <c:pt idx="418">
                  <c:v>67.166399999999996</c:v>
                </c:pt>
                <c:pt idx="419">
                  <c:v>67.166399999999996</c:v>
                </c:pt>
                <c:pt idx="420">
                  <c:v>67.135300000000001</c:v>
                </c:pt>
                <c:pt idx="421">
                  <c:v>67.135300000000001</c:v>
                </c:pt>
                <c:pt idx="422">
                  <c:v>67.135300000000001</c:v>
                </c:pt>
                <c:pt idx="423">
                  <c:v>67.135300000000001</c:v>
                </c:pt>
                <c:pt idx="424">
                  <c:v>67.135300000000001</c:v>
                </c:pt>
                <c:pt idx="425">
                  <c:v>67.135300000000001</c:v>
                </c:pt>
                <c:pt idx="426">
                  <c:v>67.135300000000001</c:v>
                </c:pt>
                <c:pt idx="427">
                  <c:v>67.135300000000001</c:v>
                </c:pt>
                <c:pt idx="428">
                  <c:v>67.145300000000006</c:v>
                </c:pt>
                <c:pt idx="429">
                  <c:v>67.145300000000006</c:v>
                </c:pt>
                <c:pt idx="430">
                  <c:v>67.145300000000006</c:v>
                </c:pt>
                <c:pt idx="431">
                  <c:v>67.145300000000006</c:v>
                </c:pt>
                <c:pt idx="432">
                  <c:v>67.145300000000006</c:v>
                </c:pt>
                <c:pt idx="433">
                  <c:v>67.145300000000006</c:v>
                </c:pt>
                <c:pt idx="434">
                  <c:v>67.145300000000006</c:v>
                </c:pt>
                <c:pt idx="435">
                  <c:v>67.145300000000006</c:v>
                </c:pt>
                <c:pt idx="436">
                  <c:v>67.569299999999998</c:v>
                </c:pt>
                <c:pt idx="437">
                  <c:v>67.569299999999998</c:v>
                </c:pt>
                <c:pt idx="438">
                  <c:v>67.569299999999998</c:v>
                </c:pt>
                <c:pt idx="439">
                  <c:v>67.569299999999998</c:v>
                </c:pt>
                <c:pt idx="440">
                  <c:v>67.569299999999998</c:v>
                </c:pt>
                <c:pt idx="441">
                  <c:v>67.569299999999998</c:v>
                </c:pt>
                <c:pt idx="442">
                  <c:v>67.569299999999998</c:v>
                </c:pt>
                <c:pt idx="443">
                  <c:v>67.569299999999998</c:v>
                </c:pt>
                <c:pt idx="444">
                  <c:v>67.902799999999999</c:v>
                </c:pt>
                <c:pt idx="445">
                  <c:v>67.902799999999999</c:v>
                </c:pt>
                <c:pt idx="446">
                  <c:v>67.902799999999999</c:v>
                </c:pt>
                <c:pt idx="447">
                  <c:v>67.902799999999999</c:v>
                </c:pt>
                <c:pt idx="448">
                  <c:v>67.902799999999999</c:v>
                </c:pt>
                <c:pt idx="449">
                  <c:v>67.902799999999999</c:v>
                </c:pt>
                <c:pt idx="450">
                  <c:v>67.902799999999999</c:v>
                </c:pt>
                <c:pt idx="451">
                  <c:v>67.902799999999999</c:v>
                </c:pt>
                <c:pt idx="452">
                  <c:v>68.739000000000004</c:v>
                </c:pt>
                <c:pt idx="453">
                  <c:v>68.739000000000004</c:v>
                </c:pt>
                <c:pt idx="454">
                  <c:v>68.739000000000004</c:v>
                </c:pt>
                <c:pt idx="455">
                  <c:v>68.739000000000004</c:v>
                </c:pt>
                <c:pt idx="456">
                  <c:v>68.739000000000004</c:v>
                </c:pt>
                <c:pt idx="457">
                  <c:v>68.739000000000004</c:v>
                </c:pt>
                <c:pt idx="458">
                  <c:v>68.739000000000004</c:v>
                </c:pt>
                <c:pt idx="459">
                  <c:v>68.739000000000004</c:v>
                </c:pt>
                <c:pt idx="460">
                  <c:v>68.729699999999994</c:v>
                </c:pt>
                <c:pt idx="461">
                  <c:v>68.729699999999994</c:v>
                </c:pt>
                <c:pt idx="462">
                  <c:v>68.729699999999994</c:v>
                </c:pt>
                <c:pt idx="463">
                  <c:v>68.729699999999994</c:v>
                </c:pt>
                <c:pt idx="464">
                  <c:v>68.729699999999994</c:v>
                </c:pt>
                <c:pt idx="465">
                  <c:v>68.729699999999994</c:v>
                </c:pt>
                <c:pt idx="466">
                  <c:v>68.729699999999994</c:v>
                </c:pt>
                <c:pt idx="467">
                  <c:v>64.890100000000004</c:v>
                </c:pt>
                <c:pt idx="468">
                  <c:v>64.890100000000004</c:v>
                </c:pt>
                <c:pt idx="469">
                  <c:v>64.890100000000004</c:v>
                </c:pt>
                <c:pt idx="470">
                  <c:v>64.890100000000004</c:v>
                </c:pt>
                <c:pt idx="471">
                  <c:v>64.890100000000004</c:v>
                </c:pt>
                <c:pt idx="472">
                  <c:v>64.890100000000004</c:v>
                </c:pt>
                <c:pt idx="473">
                  <c:v>64.890100000000004</c:v>
                </c:pt>
                <c:pt idx="474">
                  <c:v>64.890100000000004</c:v>
                </c:pt>
                <c:pt idx="475">
                  <c:v>65.003200000000007</c:v>
                </c:pt>
                <c:pt idx="476">
                  <c:v>65.003200000000007</c:v>
                </c:pt>
                <c:pt idx="477">
                  <c:v>65.003200000000007</c:v>
                </c:pt>
                <c:pt idx="478">
                  <c:v>65.003200000000007</c:v>
                </c:pt>
                <c:pt idx="479">
                  <c:v>65.003200000000007</c:v>
                </c:pt>
                <c:pt idx="480">
                  <c:v>65.003200000000007</c:v>
                </c:pt>
                <c:pt idx="481">
                  <c:v>65.003200000000007</c:v>
                </c:pt>
                <c:pt idx="482">
                  <c:v>65.003200000000007</c:v>
                </c:pt>
                <c:pt idx="483">
                  <c:v>64.994299999999996</c:v>
                </c:pt>
                <c:pt idx="484">
                  <c:v>64.994299999999996</c:v>
                </c:pt>
                <c:pt idx="485">
                  <c:v>64.994299999999996</c:v>
                </c:pt>
                <c:pt idx="486">
                  <c:v>64.994299999999996</c:v>
                </c:pt>
                <c:pt idx="487">
                  <c:v>64.898499999999999</c:v>
                </c:pt>
                <c:pt idx="488">
                  <c:v>64.898499999999999</c:v>
                </c:pt>
                <c:pt idx="489">
                  <c:v>64.898499999999999</c:v>
                </c:pt>
                <c:pt idx="490">
                  <c:v>64.898499999999999</c:v>
                </c:pt>
                <c:pt idx="491">
                  <c:v>64.898499999999999</c:v>
                </c:pt>
                <c:pt idx="492">
                  <c:v>64.898499999999999</c:v>
                </c:pt>
                <c:pt idx="493">
                  <c:v>64.898499999999999</c:v>
                </c:pt>
                <c:pt idx="494">
                  <c:v>64.244699999999995</c:v>
                </c:pt>
                <c:pt idx="495">
                  <c:v>64.244699999999995</c:v>
                </c:pt>
                <c:pt idx="496">
                  <c:v>64.244699999999995</c:v>
                </c:pt>
                <c:pt idx="497">
                  <c:v>64.244699999999995</c:v>
                </c:pt>
                <c:pt idx="498">
                  <c:v>64.244699999999995</c:v>
                </c:pt>
                <c:pt idx="499">
                  <c:v>64.244699999999995</c:v>
                </c:pt>
                <c:pt idx="500">
                  <c:v>64.244699999999995</c:v>
                </c:pt>
                <c:pt idx="501">
                  <c:v>64.244699999999995</c:v>
                </c:pt>
                <c:pt idx="502">
                  <c:v>63.4998</c:v>
                </c:pt>
                <c:pt idx="503">
                  <c:v>63.4998</c:v>
                </c:pt>
                <c:pt idx="504">
                  <c:v>63.4998</c:v>
                </c:pt>
                <c:pt idx="505">
                  <c:v>63.4998</c:v>
                </c:pt>
                <c:pt idx="506">
                  <c:v>63.4998</c:v>
                </c:pt>
                <c:pt idx="507">
                  <c:v>63.4998</c:v>
                </c:pt>
                <c:pt idx="508">
                  <c:v>63.4998</c:v>
                </c:pt>
                <c:pt idx="509">
                  <c:v>63.4998</c:v>
                </c:pt>
                <c:pt idx="510">
                  <c:v>61.993400000000001</c:v>
                </c:pt>
                <c:pt idx="511">
                  <c:v>61.993400000000001</c:v>
                </c:pt>
                <c:pt idx="512">
                  <c:v>61.993400000000001</c:v>
                </c:pt>
                <c:pt idx="513">
                  <c:v>61.993400000000001</c:v>
                </c:pt>
                <c:pt idx="514">
                  <c:v>61.993400000000001</c:v>
                </c:pt>
                <c:pt idx="515">
                  <c:v>61.993400000000001</c:v>
                </c:pt>
                <c:pt idx="516">
                  <c:v>61.993400000000001</c:v>
                </c:pt>
                <c:pt idx="517">
                  <c:v>61.993400000000001</c:v>
                </c:pt>
                <c:pt idx="518">
                  <c:v>61.999099999999999</c:v>
                </c:pt>
                <c:pt idx="519">
                  <c:v>61.978299999999997</c:v>
                </c:pt>
                <c:pt idx="520">
                  <c:v>61.978299999999997</c:v>
                </c:pt>
                <c:pt idx="521">
                  <c:v>60.502800000000001</c:v>
                </c:pt>
                <c:pt idx="522">
                  <c:v>60.502800000000001</c:v>
                </c:pt>
                <c:pt idx="523">
                  <c:v>60.502800000000001</c:v>
                </c:pt>
                <c:pt idx="524">
                  <c:v>60.502800000000001</c:v>
                </c:pt>
                <c:pt idx="525">
                  <c:v>60.502800000000001</c:v>
                </c:pt>
                <c:pt idx="526">
                  <c:v>60.502800000000001</c:v>
                </c:pt>
                <c:pt idx="527">
                  <c:v>60.502800000000001</c:v>
                </c:pt>
                <c:pt idx="528">
                  <c:v>60.502800000000001</c:v>
                </c:pt>
                <c:pt idx="529">
                  <c:v>59.754899999999999</c:v>
                </c:pt>
                <c:pt idx="530">
                  <c:v>59.754899999999999</c:v>
                </c:pt>
                <c:pt idx="531">
                  <c:v>59.754899999999999</c:v>
                </c:pt>
                <c:pt idx="532">
                  <c:v>59.754899999999999</c:v>
                </c:pt>
                <c:pt idx="533">
                  <c:v>59.754899999999999</c:v>
                </c:pt>
                <c:pt idx="534">
                  <c:v>59.754899999999999</c:v>
                </c:pt>
                <c:pt idx="535">
                  <c:v>59.754899999999999</c:v>
                </c:pt>
                <c:pt idx="536">
                  <c:v>59.754899999999999</c:v>
                </c:pt>
                <c:pt idx="537">
                  <c:v>59.7637</c:v>
                </c:pt>
                <c:pt idx="538">
                  <c:v>59.7637</c:v>
                </c:pt>
                <c:pt idx="539">
                  <c:v>59.7637</c:v>
                </c:pt>
                <c:pt idx="540">
                  <c:v>59.7637</c:v>
                </c:pt>
                <c:pt idx="541">
                  <c:v>59.766399999999997</c:v>
                </c:pt>
                <c:pt idx="542">
                  <c:v>59.766399999999997</c:v>
                </c:pt>
                <c:pt idx="543">
                  <c:v>58.974600000000002</c:v>
                </c:pt>
                <c:pt idx="544">
                  <c:v>58.974600000000002</c:v>
                </c:pt>
                <c:pt idx="545">
                  <c:v>58.974600000000002</c:v>
                </c:pt>
                <c:pt idx="546">
                  <c:v>58.974600000000002</c:v>
                </c:pt>
                <c:pt idx="547">
                  <c:v>58.974600000000002</c:v>
                </c:pt>
                <c:pt idx="548">
                  <c:v>58.974600000000002</c:v>
                </c:pt>
                <c:pt idx="549">
                  <c:v>58.974600000000002</c:v>
                </c:pt>
                <c:pt idx="550">
                  <c:v>58.974600000000002</c:v>
                </c:pt>
                <c:pt idx="551">
                  <c:v>58.033299999999997</c:v>
                </c:pt>
                <c:pt idx="552">
                  <c:v>58.033299999999997</c:v>
                </c:pt>
                <c:pt idx="553">
                  <c:v>58.033299999999997</c:v>
                </c:pt>
                <c:pt idx="554">
                  <c:v>58.033299999999997</c:v>
                </c:pt>
                <c:pt idx="555">
                  <c:v>58.033299999999997</c:v>
                </c:pt>
                <c:pt idx="556">
                  <c:v>58.033299999999997</c:v>
                </c:pt>
                <c:pt idx="557">
                  <c:v>58.033299999999997</c:v>
                </c:pt>
                <c:pt idx="558">
                  <c:v>58.033299999999997</c:v>
                </c:pt>
                <c:pt idx="559">
                  <c:v>57.303199999999997</c:v>
                </c:pt>
                <c:pt idx="560">
                  <c:v>57.303199999999997</c:v>
                </c:pt>
                <c:pt idx="561">
                  <c:v>57.303199999999997</c:v>
                </c:pt>
                <c:pt idx="562">
                  <c:v>57.303199999999997</c:v>
                </c:pt>
                <c:pt idx="563">
                  <c:v>57.303199999999997</c:v>
                </c:pt>
                <c:pt idx="564">
                  <c:v>57.303199999999997</c:v>
                </c:pt>
                <c:pt idx="565">
                  <c:v>57.303199999999997</c:v>
                </c:pt>
                <c:pt idx="566">
                  <c:v>57.303199999999997</c:v>
                </c:pt>
                <c:pt idx="567">
                  <c:v>-76.276655000000005</c:v>
                </c:pt>
                <c:pt idx="568">
                  <c:v>-76.276655000000005</c:v>
                </c:pt>
                <c:pt idx="569">
                  <c:v>-76.276655000000005</c:v>
                </c:pt>
                <c:pt idx="570">
                  <c:v>-76.276655000000005</c:v>
                </c:pt>
                <c:pt idx="571">
                  <c:v>-76.276655000000005</c:v>
                </c:pt>
                <c:pt idx="572">
                  <c:v>-76.276655000000005</c:v>
                </c:pt>
                <c:pt idx="573">
                  <c:v>-76.276655000000005</c:v>
                </c:pt>
                <c:pt idx="574">
                  <c:v>-76.276655000000005</c:v>
                </c:pt>
                <c:pt idx="575">
                  <c:v>-76.276655000000005</c:v>
                </c:pt>
                <c:pt idx="576">
                  <c:v>-76.276655000000005</c:v>
                </c:pt>
                <c:pt idx="577">
                  <c:v>-76.276655000000005</c:v>
                </c:pt>
                <c:pt idx="578">
                  <c:v>-76.276655000000005</c:v>
                </c:pt>
                <c:pt idx="579">
                  <c:v>-76.276655000000005</c:v>
                </c:pt>
                <c:pt idx="580">
                  <c:v>-76.276655000000005</c:v>
                </c:pt>
                <c:pt idx="581">
                  <c:v>-76.276655000000005</c:v>
                </c:pt>
                <c:pt idx="582">
                  <c:v>-76.276655000000005</c:v>
                </c:pt>
                <c:pt idx="583">
                  <c:v>-76.276655000000005</c:v>
                </c:pt>
                <c:pt idx="584">
                  <c:v>-76.276655000000005</c:v>
                </c:pt>
                <c:pt idx="585">
                  <c:v>-76.276655000000005</c:v>
                </c:pt>
                <c:pt idx="586">
                  <c:v>-76.276655000000005</c:v>
                </c:pt>
                <c:pt idx="587">
                  <c:v>-76.276655000000005</c:v>
                </c:pt>
                <c:pt idx="588">
                  <c:v>-76.276655000000005</c:v>
                </c:pt>
                <c:pt idx="589">
                  <c:v>-76.276655000000005</c:v>
                </c:pt>
                <c:pt idx="590">
                  <c:v>-76.276655000000005</c:v>
                </c:pt>
                <c:pt idx="591">
                  <c:v>-76.276655000000005</c:v>
                </c:pt>
                <c:pt idx="592">
                  <c:v>-76.276655000000005</c:v>
                </c:pt>
                <c:pt idx="593">
                  <c:v>-76.276655000000005</c:v>
                </c:pt>
                <c:pt idx="594">
                  <c:v>-76.276655000000005</c:v>
                </c:pt>
                <c:pt idx="595">
                  <c:v>-76.330241999999998</c:v>
                </c:pt>
                <c:pt idx="596">
                  <c:v>-76.330241999999998</c:v>
                </c:pt>
                <c:pt idx="597">
                  <c:v>-76.330241999999998</c:v>
                </c:pt>
                <c:pt idx="598">
                  <c:v>-76.330241999999998</c:v>
                </c:pt>
                <c:pt idx="599">
                  <c:v>-76.276655000000005</c:v>
                </c:pt>
                <c:pt idx="600">
                  <c:v>-76.276655000000005</c:v>
                </c:pt>
                <c:pt idx="601">
                  <c:v>-76.276655000000005</c:v>
                </c:pt>
                <c:pt idx="602">
                  <c:v>-76.276655000000005</c:v>
                </c:pt>
                <c:pt idx="603">
                  <c:v>-76.022203000000005</c:v>
                </c:pt>
                <c:pt idx="604">
                  <c:v>-76.022203000000005</c:v>
                </c:pt>
                <c:pt idx="605">
                  <c:v>-76.022203000000005</c:v>
                </c:pt>
                <c:pt idx="606">
                  <c:v>-76.022203000000005</c:v>
                </c:pt>
                <c:pt idx="607">
                  <c:v>169.09450000000001</c:v>
                </c:pt>
                <c:pt idx="608">
                  <c:v>169.09450000000001</c:v>
                </c:pt>
                <c:pt idx="609">
                  <c:v>169.09450000000001</c:v>
                </c:pt>
                <c:pt idx="610">
                  <c:v>169.09450000000001</c:v>
                </c:pt>
                <c:pt idx="611">
                  <c:v>169.09450000000001</c:v>
                </c:pt>
                <c:pt idx="612">
                  <c:v>169.09450000000001</c:v>
                </c:pt>
                <c:pt idx="613">
                  <c:v>169.09450000000001</c:v>
                </c:pt>
                <c:pt idx="614">
                  <c:v>-177.86199999999999</c:v>
                </c:pt>
                <c:pt idx="615">
                  <c:v>-177.86199999999999</c:v>
                </c:pt>
                <c:pt idx="616">
                  <c:v>-177.86199999999999</c:v>
                </c:pt>
                <c:pt idx="617">
                  <c:v>-177.86199999999999</c:v>
                </c:pt>
                <c:pt idx="618">
                  <c:v>-177.86199999999999</c:v>
                </c:pt>
                <c:pt idx="619">
                  <c:v>-177.86199999999999</c:v>
                </c:pt>
                <c:pt idx="620">
                  <c:v>-177.86199999999999</c:v>
                </c:pt>
                <c:pt idx="621">
                  <c:v>168.9581</c:v>
                </c:pt>
                <c:pt idx="622">
                  <c:v>168.9581</c:v>
                </c:pt>
                <c:pt idx="623">
                  <c:v>168.9581</c:v>
                </c:pt>
                <c:pt idx="624">
                  <c:v>168.9581</c:v>
                </c:pt>
                <c:pt idx="625">
                  <c:v>168.9581</c:v>
                </c:pt>
                <c:pt idx="626">
                  <c:v>168.9581</c:v>
                </c:pt>
                <c:pt idx="627">
                  <c:v>176.99019999999999</c:v>
                </c:pt>
                <c:pt idx="628">
                  <c:v>176.99019999999999</c:v>
                </c:pt>
                <c:pt idx="629">
                  <c:v>176.99019999999999</c:v>
                </c:pt>
                <c:pt idx="630">
                  <c:v>175.99090000000001</c:v>
                </c:pt>
                <c:pt idx="631">
                  <c:v>175.99090000000001</c:v>
                </c:pt>
                <c:pt idx="632">
                  <c:v>175.99090000000001</c:v>
                </c:pt>
                <c:pt idx="633">
                  <c:v>175.994</c:v>
                </c:pt>
                <c:pt idx="634">
                  <c:v>175.994</c:v>
                </c:pt>
                <c:pt idx="635">
                  <c:v>175.994</c:v>
                </c:pt>
                <c:pt idx="636">
                  <c:v>175.994</c:v>
                </c:pt>
                <c:pt idx="637">
                  <c:v>168.9862</c:v>
                </c:pt>
                <c:pt idx="638">
                  <c:v>168.9862</c:v>
                </c:pt>
                <c:pt idx="639">
                  <c:v>168.9862</c:v>
                </c:pt>
                <c:pt idx="640">
                  <c:v>168.98140000000001</c:v>
                </c:pt>
                <c:pt idx="641">
                  <c:v>168.98140000000001</c:v>
                </c:pt>
                <c:pt idx="642">
                  <c:v>168.98140000000001</c:v>
                </c:pt>
                <c:pt idx="643">
                  <c:v>-177.96369999999999</c:v>
                </c:pt>
                <c:pt idx="644">
                  <c:v>-177.96369999999999</c:v>
                </c:pt>
                <c:pt idx="645">
                  <c:v>-177.96369999999999</c:v>
                </c:pt>
                <c:pt idx="646">
                  <c:v>-177.96369999999999</c:v>
                </c:pt>
                <c:pt idx="647">
                  <c:v>-177.96369999999999</c:v>
                </c:pt>
                <c:pt idx="648">
                  <c:v>-177.96369999999999</c:v>
                </c:pt>
                <c:pt idx="649">
                  <c:v>-178.1628</c:v>
                </c:pt>
                <c:pt idx="650">
                  <c:v>175.99969999999999</c:v>
                </c:pt>
                <c:pt idx="651">
                  <c:v>175.99969999999999</c:v>
                </c:pt>
                <c:pt idx="652">
                  <c:v>175.99969999999999</c:v>
                </c:pt>
                <c:pt idx="653">
                  <c:v>175.99969999999999</c:v>
                </c:pt>
                <c:pt idx="654">
                  <c:v>175.99969999999999</c:v>
                </c:pt>
                <c:pt idx="655">
                  <c:v>175.99969999999999</c:v>
                </c:pt>
                <c:pt idx="656">
                  <c:v>169.161</c:v>
                </c:pt>
                <c:pt idx="657">
                  <c:v>169.161</c:v>
                </c:pt>
                <c:pt idx="658">
                  <c:v>169.161</c:v>
                </c:pt>
                <c:pt idx="659">
                  <c:v>169.161</c:v>
                </c:pt>
                <c:pt idx="660">
                  <c:v>169.161</c:v>
                </c:pt>
                <c:pt idx="661">
                  <c:v>169.161</c:v>
                </c:pt>
                <c:pt idx="662">
                  <c:v>-178.0187</c:v>
                </c:pt>
                <c:pt idx="663">
                  <c:v>-178.0187</c:v>
                </c:pt>
                <c:pt idx="664">
                  <c:v>-178.0187</c:v>
                </c:pt>
                <c:pt idx="665">
                  <c:v>-178.0187</c:v>
                </c:pt>
                <c:pt idx="666">
                  <c:v>-178.0187</c:v>
                </c:pt>
                <c:pt idx="667">
                  <c:v>-178.0187</c:v>
                </c:pt>
                <c:pt idx="668">
                  <c:v>172.5942</c:v>
                </c:pt>
                <c:pt idx="669">
                  <c:v>176.0942</c:v>
                </c:pt>
                <c:pt idx="670">
                  <c:v>175.89500000000001</c:v>
                </c:pt>
                <c:pt idx="671">
                  <c:v>175.89500000000001</c:v>
                </c:pt>
                <c:pt idx="672">
                  <c:v>175.89500000000001</c:v>
                </c:pt>
                <c:pt idx="673">
                  <c:v>175.78870000000001</c:v>
                </c:pt>
                <c:pt idx="674">
                  <c:v>175.78870000000001</c:v>
                </c:pt>
                <c:pt idx="675">
                  <c:v>175.78870000000001</c:v>
                </c:pt>
                <c:pt idx="676">
                  <c:v>-177.95869999999999</c:v>
                </c:pt>
                <c:pt idx="677">
                  <c:v>-177.95869999999999</c:v>
                </c:pt>
                <c:pt idx="678">
                  <c:v>-177.95869999999999</c:v>
                </c:pt>
                <c:pt idx="679">
                  <c:v>-177.95869999999999</c:v>
                </c:pt>
                <c:pt idx="680">
                  <c:v>-177.95869999999999</c:v>
                </c:pt>
                <c:pt idx="681">
                  <c:v>-177.95869999999999</c:v>
                </c:pt>
                <c:pt idx="682">
                  <c:v>169.0574</c:v>
                </c:pt>
                <c:pt idx="683">
                  <c:v>169.0574</c:v>
                </c:pt>
                <c:pt idx="684">
                  <c:v>169.0574</c:v>
                </c:pt>
                <c:pt idx="685">
                  <c:v>169.0574</c:v>
                </c:pt>
                <c:pt idx="686">
                  <c:v>169.0574</c:v>
                </c:pt>
                <c:pt idx="687">
                  <c:v>169.0574</c:v>
                </c:pt>
                <c:pt idx="688">
                  <c:v>95</c:v>
                </c:pt>
                <c:pt idx="689">
                  <c:v>95</c:v>
                </c:pt>
                <c:pt idx="690">
                  <c:v>95</c:v>
                </c:pt>
                <c:pt idx="691">
                  <c:v>95</c:v>
                </c:pt>
                <c:pt idx="692">
                  <c:v>95</c:v>
                </c:pt>
                <c:pt idx="693">
                  <c:v>95</c:v>
                </c:pt>
                <c:pt idx="694">
                  <c:v>95</c:v>
                </c:pt>
                <c:pt idx="695">
                  <c:v>95</c:v>
                </c:pt>
                <c:pt idx="696">
                  <c:v>95</c:v>
                </c:pt>
                <c:pt idx="697">
                  <c:v>95</c:v>
                </c:pt>
                <c:pt idx="698">
                  <c:v>94.87</c:v>
                </c:pt>
                <c:pt idx="699">
                  <c:v>94.43</c:v>
                </c:pt>
                <c:pt idx="700">
                  <c:v>94.13</c:v>
                </c:pt>
                <c:pt idx="701">
                  <c:v>93.02</c:v>
                </c:pt>
                <c:pt idx="702">
                  <c:v>92.3</c:v>
                </c:pt>
                <c:pt idx="703">
                  <c:v>91.76</c:v>
                </c:pt>
                <c:pt idx="704">
                  <c:v>90.76</c:v>
                </c:pt>
                <c:pt idx="705">
                  <c:v>89.34</c:v>
                </c:pt>
                <c:pt idx="706">
                  <c:v>88.2</c:v>
                </c:pt>
                <c:pt idx="707">
                  <c:v>87.07</c:v>
                </c:pt>
                <c:pt idx="708">
                  <c:v>87.34</c:v>
                </c:pt>
                <c:pt idx="709">
                  <c:v>88.46</c:v>
                </c:pt>
                <c:pt idx="710">
                  <c:v>89.59</c:v>
                </c:pt>
                <c:pt idx="711">
                  <c:v>89.85</c:v>
                </c:pt>
                <c:pt idx="713">
                  <c:v>43.956262425447299</c:v>
                </c:pt>
                <c:pt idx="714">
                  <c:v>43.956262425447299</c:v>
                </c:pt>
                <c:pt idx="715">
                  <c:v>43.956262425447299</c:v>
                </c:pt>
                <c:pt idx="716">
                  <c:v>43.956262425447299</c:v>
                </c:pt>
                <c:pt idx="717">
                  <c:v>43.956262425447299</c:v>
                </c:pt>
                <c:pt idx="718">
                  <c:v>43.956262425447299</c:v>
                </c:pt>
                <c:pt idx="719">
                  <c:v>43.956262425447299</c:v>
                </c:pt>
                <c:pt idx="720">
                  <c:v>43.956262425447299</c:v>
                </c:pt>
                <c:pt idx="721">
                  <c:v>43.956262425447299</c:v>
                </c:pt>
                <c:pt idx="722">
                  <c:v>43.956262425447299</c:v>
                </c:pt>
                <c:pt idx="723">
                  <c:v>43.956262425447299</c:v>
                </c:pt>
                <c:pt idx="724">
                  <c:v>44.063618290258397</c:v>
                </c:pt>
                <c:pt idx="725">
                  <c:v>44.063618290258397</c:v>
                </c:pt>
                <c:pt idx="726">
                  <c:v>44.063618290258397</c:v>
                </c:pt>
                <c:pt idx="727">
                  <c:v>44.063618290258397</c:v>
                </c:pt>
                <c:pt idx="728">
                  <c:v>44.063618290258397</c:v>
                </c:pt>
                <c:pt idx="729">
                  <c:v>44.063618290258397</c:v>
                </c:pt>
                <c:pt idx="730">
                  <c:v>40.9145129224652</c:v>
                </c:pt>
                <c:pt idx="731">
                  <c:v>40.9145129224652</c:v>
                </c:pt>
                <c:pt idx="732">
                  <c:v>40.9145129224652</c:v>
                </c:pt>
                <c:pt idx="733">
                  <c:v>40.9145129224652</c:v>
                </c:pt>
                <c:pt idx="734">
                  <c:v>40.9145129224652</c:v>
                </c:pt>
                <c:pt idx="735">
                  <c:v>40.9145129224652</c:v>
                </c:pt>
                <c:pt idx="736">
                  <c:v>38.7316103379721</c:v>
                </c:pt>
                <c:pt idx="737">
                  <c:v>38.7316103379721</c:v>
                </c:pt>
                <c:pt idx="738">
                  <c:v>38.7316103379721</c:v>
                </c:pt>
                <c:pt idx="739">
                  <c:v>38.7316103379721</c:v>
                </c:pt>
                <c:pt idx="740">
                  <c:v>38.7316103379721</c:v>
                </c:pt>
                <c:pt idx="741">
                  <c:v>38.7316103379721</c:v>
                </c:pt>
                <c:pt idx="742">
                  <c:v>37.836978131212703</c:v>
                </c:pt>
                <c:pt idx="743">
                  <c:v>37.836978131212703</c:v>
                </c:pt>
                <c:pt idx="744">
                  <c:v>37.836978131212703</c:v>
                </c:pt>
                <c:pt idx="745">
                  <c:v>37.836978131212703</c:v>
                </c:pt>
                <c:pt idx="746">
                  <c:v>37.836978131212703</c:v>
                </c:pt>
                <c:pt idx="747">
                  <c:v>37.836978131212703</c:v>
                </c:pt>
                <c:pt idx="748">
                  <c:v>-117.2</c:v>
                </c:pt>
                <c:pt idx="749">
                  <c:v>-117.2</c:v>
                </c:pt>
                <c:pt idx="750">
                  <c:v>-117.2</c:v>
                </c:pt>
                <c:pt idx="751">
                  <c:v>-117.2</c:v>
                </c:pt>
                <c:pt idx="752">
                  <c:v>-117.2</c:v>
                </c:pt>
                <c:pt idx="753">
                  <c:v>-117.2</c:v>
                </c:pt>
                <c:pt idx="754">
                  <c:v>-117.25</c:v>
                </c:pt>
                <c:pt idx="755">
                  <c:v>-117.25</c:v>
                </c:pt>
                <c:pt idx="756">
                  <c:v>-117.25</c:v>
                </c:pt>
                <c:pt idx="757">
                  <c:v>-117.25</c:v>
                </c:pt>
                <c:pt idx="758">
                  <c:v>-117.25</c:v>
                </c:pt>
                <c:pt idx="759">
                  <c:v>-117.25</c:v>
                </c:pt>
                <c:pt idx="760">
                  <c:v>-117.2</c:v>
                </c:pt>
                <c:pt idx="761">
                  <c:v>-117.2</c:v>
                </c:pt>
                <c:pt idx="762">
                  <c:v>-117.2</c:v>
                </c:pt>
                <c:pt idx="763">
                  <c:v>-117.2</c:v>
                </c:pt>
                <c:pt idx="764">
                  <c:v>-117.2</c:v>
                </c:pt>
                <c:pt idx="765">
                  <c:v>-117.2</c:v>
                </c:pt>
                <c:pt idx="766">
                  <c:v>-117.2</c:v>
                </c:pt>
                <c:pt idx="767">
                  <c:v>-117.2</c:v>
                </c:pt>
                <c:pt idx="768">
                  <c:v>-117.2</c:v>
                </c:pt>
                <c:pt idx="769">
                  <c:v>-117.2</c:v>
                </c:pt>
                <c:pt idx="770">
                  <c:v>-117.2</c:v>
                </c:pt>
                <c:pt idx="771">
                  <c:v>-117.2</c:v>
                </c:pt>
                <c:pt idx="772">
                  <c:v>-117.2</c:v>
                </c:pt>
                <c:pt idx="773">
                  <c:v>-117.2</c:v>
                </c:pt>
                <c:pt idx="774">
                  <c:v>-117.2</c:v>
                </c:pt>
                <c:pt idx="775">
                  <c:v>-117.2</c:v>
                </c:pt>
                <c:pt idx="776">
                  <c:v>-117.2</c:v>
                </c:pt>
                <c:pt idx="777">
                  <c:v>-117.25</c:v>
                </c:pt>
                <c:pt idx="778">
                  <c:v>-118.2</c:v>
                </c:pt>
                <c:pt idx="779">
                  <c:v>-118.2</c:v>
                </c:pt>
                <c:pt idx="780">
                  <c:v>-118.2</c:v>
                </c:pt>
                <c:pt idx="781">
                  <c:v>-118.2</c:v>
                </c:pt>
                <c:pt idx="782">
                  <c:v>-118.2</c:v>
                </c:pt>
                <c:pt idx="783">
                  <c:v>-118.2</c:v>
                </c:pt>
              </c:numCache>
            </c:numRef>
          </c:xVal>
          <c:yVal>
            <c:numRef>
              <c:f>Sheet2!$B$2:$B$792</c:f>
              <c:numCache>
                <c:formatCode>General</c:formatCode>
                <c:ptCount val="791"/>
                <c:pt idx="0">
                  <c:v>71.355999999999995</c:v>
                </c:pt>
                <c:pt idx="1">
                  <c:v>71.355999999999995</c:v>
                </c:pt>
                <c:pt idx="2">
                  <c:v>71.355999999999995</c:v>
                </c:pt>
                <c:pt idx="3">
                  <c:v>71.337000000000003</c:v>
                </c:pt>
                <c:pt idx="4">
                  <c:v>71.337000000000003</c:v>
                </c:pt>
                <c:pt idx="5">
                  <c:v>71.337000000000003</c:v>
                </c:pt>
                <c:pt idx="6">
                  <c:v>71.302000000000007</c:v>
                </c:pt>
                <c:pt idx="7">
                  <c:v>71.302000000000007</c:v>
                </c:pt>
                <c:pt idx="8">
                  <c:v>71.302000000000007</c:v>
                </c:pt>
                <c:pt idx="9">
                  <c:v>71.355999999999995</c:v>
                </c:pt>
                <c:pt idx="10">
                  <c:v>71.355999999999995</c:v>
                </c:pt>
                <c:pt idx="11">
                  <c:v>71.355999999999995</c:v>
                </c:pt>
                <c:pt idx="12">
                  <c:v>71.37</c:v>
                </c:pt>
                <c:pt idx="13">
                  <c:v>71.37</c:v>
                </c:pt>
                <c:pt idx="14">
                  <c:v>71.37</c:v>
                </c:pt>
                <c:pt idx="15">
                  <c:v>37.667999999999999</c:v>
                </c:pt>
                <c:pt idx="16">
                  <c:v>37.667999999999999</c:v>
                </c:pt>
                <c:pt idx="17">
                  <c:v>37.667999999999999</c:v>
                </c:pt>
                <c:pt idx="18">
                  <c:v>37.664999999999999</c:v>
                </c:pt>
                <c:pt idx="19">
                  <c:v>37.664999999999999</c:v>
                </c:pt>
                <c:pt idx="20">
                  <c:v>37.664999999999999</c:v>
                </c:pt>
                <c:pt idx="21">
                  <c:v>37.668300000000002</c:v>
                </c:pt>
                <c:pt idx="22">
                  <c:v>37.668300000000002</c:v>
                </c:pt>
                <c:pt idx="23">
                  <c:v>37.668300000000002</c:v>
                </c:pt>
                <c:pt idx="24">
                  <c:v>36.929099999999998</c:v>
                </c:pt>
                <c:pt idx="25">
                  <c:v>36.929099999999998</c:v>
                </c:pt>
                <c:pt idx="26">
                  <c:v>36.929099999999998</c:v>
                </c:pt>
                <c:pt idx="27">
                  <c:v>36.936799999999998</c:v>
                </c:pt>
                <c:pt idx="28">
                  <c:v>36.936799999999998</c:v>
                </c:pt>
                <c:pt idx="29">
                  <c:v>36.936799999999998</c:v>
                </c:pt>
                <c:pt idx="30">
                  <c:v>36.940300000000001</c:v>
                </c:pt>
                <c:pt idx="31">
                  <c:v>36.940300000000001</c:v>
                </c:pt>
                <c:pt idx="32">
                  <c:v>36.940300000000001</c:v>
                </c:pt>
                <c:pt idx="33">
                  <c:v>36.349299999999999</c:v>
                </c:pt>
                <c:pt idx="34">
                  <c:v>36.349299999999999</c:v>
                </c:pt>
                <c:pt idx="35">
                  <c:v>36.349299999999999</c:v>
                </c:pt>
                <c:pt idx="36">
                  <c:v>36.333799999999997</c:v>
                </c:pt>
                <c:pt idx="37">
                  <c:v>36.333799999999997</c:v>
                </c:pt>
                <c:pt idx="38">
                  <c:v>36.333799999999997</c:v>
                </c:pt>
                <c:pt idx="39">
                  <c:v>36.332000000000001</c:v>
                </c:pt>
                <c:pt idx="40">
                  <c:v>36.332000000000001</c:v>
                </c:pt>
                <c:pt idx="41">
                  <c:v>36.332000000000001</c:v>
                </c:pt>
                <c:pt idx="42">
                  <c:v>35.665599999999998</c:v>
                </c:pt>
                <c:pt idx="43">
                  <c:v>35.665599999999998</c:v>
                </c:pt>
                <c:pt idx="44">
                  <c:v>35.665599999999998</c:v>
                </c:pt>
                <c:pt idx="45">
                  <c:v>35.671300000000002</c:v>
                </c:pt>
                <c:pt idx="46">
                  <c:v>35.671300000000002</c:v>
                </c:pt>
                <c:pt idx="47">
                  <c:v>35.671300000000002</c:v>
                </c:pt>
                <c:pt idx="48">
                  <c:v>35.664099999999998</c:v>
                </c:pt>
                <c:pt idx="49">
                  <c:v>35.664099999999998</c:v>
                </c:pt>
                <c:pt idx="50">
                  <c:v>35.664099999999998</c:v>
                </c:pt>
                <c:pt idx="51">
                  <c:v>35.031599999999997</c:v>
                </c:pt>
                <c:pt idx="52">
                  <c:v>35.031599999999997</c:v>
                </c:pt>
                <c:pt idx="53">
                  <c:v>35.031599999999997</c:v>
                </c:pt>
                <c:pt idx="54">
                  <c:v>35.035800000000002</c:v>
                </c:pt>
                <c:pt idx="55">
                  <c:v>35.035800000000002</c:v>
                </c:pt>
                <c:pt idx="56">
                  <c:v>35.045000000000002</c:v>
                </c:pt>
                <c:pt idx="57">
                  <c:v>35.045000000000002</c:v>
                </c:pt>
                <c:pt idx="58">
                  <c:v>35.045000000000002</c:v>
                </c:pt>
                <c:pt idx="59">
                  <c:v>33.331800000000001</c:v>
                </c:pt>
                <c:pt idx="60">
                  <c:v>33.331800000000001</c:v>
                </c:pt>
                <c:pt idx="61">
                  <c:v>33.331800000000001</c:v>
                </c:pt>
                <c:pt idx="62">
                  <c:v>33.332500000000003</c:v>
                </c:pt>
                <c:pt idx="63">
                  <c:v>33.332500000000003</c:v>
                </c:pt>
                <c:pt idx="64">
                  <c:v>33.332500000000003</c:v>
                </c:pt>
                <c:pt idx="65">
                  <c:v>33.330599999999997</c:v>
                </c:pt>
                <c:pt idx="66">
                  <c:v>33.330599999999997</c:v>
                </c:pt>
                <c:pt idx="67">
                  <c:v>33.330599999999997</c:v>
                </c:pt>
                <c:pt idx="68">
                  <c:v>33.336300000000001</c:v>
                </c:pt>
                <c:pt idx="69">
                  <c:v>33.336300000000001</c:v>
                </c:pt>
                <c:pt idx="70">
                  <c:v>33.336300000000001</c:v>
                </c:pt>
                <c:pt idx="71">
                  <c:v>33.333100000000002</c:v>
                </c:pt>
                <c:pt idx="72">
                  <c:v>33.333100000000002</c:v>
                </c:pt>
                <c:pt idx="73">
                  <c:v>33.999000000000002</c:v>
                </c:pt>
                <c:pt idx="74">
                  <c:v>33.999000000000002</c:v>
                </c:pt>
                <c:pt idx="75">
                  <c:v>34.006599999999999</c:v>
                </c:pt>
                <c:pt idx="76">
                  <c:v>34.006599999999999</c:v>
                </c:pt>
                <c:pt idx="77">
                  <c:v>34.000500000000002</c:v>
                </c:pt>
                <c:pt idx="78">
                  <c:v>34.000500000000002</c:v>
                </c:pt>
                <c:pt idx="79">
                  <c:v>34.004600000000003</c:v>
                </c:pt>
                <c:pt idx="80">
                  <c:v>34.004600000000003</c:v>
                </c:pt>
                <c:pt idx="81">
                  <c:v>34.004600000000003</c:v>
                </c:pt>
                <c:pt idx="82">
                  <c:v>34.536299999999997</c:v>
                </c:pt>
                <c:pt idx="83">
                  <c:v>34.536299999999997</c:v>
                </c:pt>
                <c:pt idx="84">
                  <c:v>34.536299999999997</c:v>
                </c:pt>
                <c:pt idx="85">
                  <c:v>34.534599999999998</c:v>
                </c:pt>
                <c:pt idx="86">
                  <c:v>34.534599999999998</c:v>
                </c:pt>
                <c:pt idx="87">
                  <c:v>34.534599999999998</c:v>
                </c:pt>
                <c:pt idx="88">
                  <c:v>34.534599999999998</c:v>
                </c:pt>
                <c:pt idx="89">
                  <c:v>34.530099999999997</c:v>
                </c:pt>
                <c:pt idx="90">
                  <c:v>34.530099999999997</c:v>
                </c:pt>
                <c:pt idx="91">
                  <c:v>34.530099999999997</c:v>
                </c:pt>
                <c:pt idx="92">
                  <c:v>-53.030200000000001</c:v>
                </c:pt>
                <c:pt idx="93">
                  <c:v>-53.030200000000001</c:v>
                </c:pt>
                <c:pt idx="94">
                  <c:v>-53.030200000000001</c:v>
                </c:pt>
                <c:pt idx="95">
                  <c:v>-53.027299999999997</c:v>
                </c:pt>
                <c:pt idx="96">
                  <c:v>-53.027299999999997</c:v>
                </c:pt>
                <c:pt idx="97">
                  <c:v>-53.027299999999997</c:v>
                </c:pt>
                <c:pt idx="98">
                  <c:v>-53.027299999999997</c:v>
                </c:pt>
                <c:pt idx="99">
                  <c:v>-53.027299999999997</c:v>
                </c:pt>
                <c:pt idx="100">
                  <c:v>-56.843299999999999</c:v>
                </c:pt>
                <c:pt idx="101">
                  <c:v>-56.843299999999999</c:v>
                </c:pt>
                <c:pt idx="102">
                  <c:v>-56.843299999999999</c:v>
                </c:pt>
                <c:pt idx="103">
                  <c:v>-56.843200000000003</c:v>
                </c:pt>
                <c:pt idx="104">
                  <c:v>-56.843200000000003</c:v>
                </c:pt>
                <c:pt idx="105">
                  <c:v>-56.843200000000003</c:v>
                </c:pt>
                <c:pt idx="106">
                  <c:v>-56.843200000000003</c:v>
                </c:pt>
                <c:pt idx="107">
                  <c:v>-56.843200000000003</c:v>
                </c:pt>
                <c:pt idx="108">
                  <c:v>-60.231720000000003</c:v>
                </c:pt>
                <c:pt idx="109">
                  <c:v>-60.23</c:v>
                </c:pt>
                <c:pt idx="110">
                  <c:v>-60.23</c:v>
                </c:pt>
                <c:pt idx="111">
                  <c:v>-60.23</c:v>
                </c:pt>
                <c:pt idx="112">
                  <c:v>-60.23</c:v>
                </c:pt>
                <c:pt idx="113">
                  <c:v>-60.23</c:v>
                </c:pt>
                <c:pt idx="114">
                  <c:v>-60.23</c:v>
                </c:pt>
                <c:pt idx="115">
                  <c:v>-60.23</c:v>
                </c:pt>
                <c:pt idx="116">
                  <c:v>-60.23</c:v>
                </c:pt>
                <c:pt idx="117">
                  <c:v>-60.916499999999999</c:v>
                </c:pt>
                <c:pt idx="118">
                  <c:v>-60.916499999999999</c:v>
                </c:pt>
                <c:pt idx="119">
                  <c:v>-60.916499999999999</c:v>
                </c:pt>
                <c:pt idx="120">
                  <c:v>-60.9163</c:v>
                </c:pt>
                <c:pt idx="121">
                  <c:v>-60.9163</c:v>
                </c:pt>
                <c:pt idx="122">
                  <c:v>-60.9163</c:v>
                </c:pt>
                <c:pt idx="123">
                  <c:v>-60.9163</c:v>
                </c:pt>
                <c:pt idx="124">
                  <c:v>-60.9163</c:v>
                </c:pt>
                <c:pt idx="125">
                  <c:v>-60.9163</c:v>
                </c:pt>
                <c:pt idx="126">
                  <c:v>-60.9163</c:v>
                </c:pt>
                <c:pt idx="127">
                  <c:v>-61.666699999999999</c:v>
                </c:pt>
                <c:pt idx="128">
                  <c:v>-61.666699999999999</c:v>
                </c:pt>
                <c:pt idx="129">
                  <c:v>-61.666699999999999</c:v>
                </c:pt>
                <c:pt idx="130">
                  <c:v>-61.666499999999999</c:v>
                </c:pt>
                <c:pt idx="131">
                  <c:v>-61.666499999999999</c:v>
                </c:pt>
                <c:pt idx="132">
                  <c:v>-61.666499999999999</c:v>
                </c:pt>
                <c:pt idx="133">
                  <c:v>-61.666499999999999</c:v>
                </c:pt>
                <c:pt idx="134">
                  <c:v>-61.666499999999999</c:v>
                </c:pt>
                <c:pt idx="135">
                  <c:v>-61.666699999999999</c:v>
                </c:pt>
                <c:pt idx="136">
                  <c:v>-61.666699999999999</c:v>
                </c:pt>
                <c:pt idx="137">
                  <c:v>-64.169799999999995</c:v>
                </c:pt>
                <c:pt idx="138">
                  <c:v>-64.169799999999995</c:v>
                </c:pt>
                <c:pt idx="139">
                  <c:v>-64.169799999999995</c:v>
                </c:pt>
                <c:pt idx="140">
                  <c:v>-64.169799999999995</c:v>
                </c:pt>
                <c:pt idx="141">
                  <c:v>-64.169799999999995</c:v>
                </c:pt>
                <c:pt idx="142">
                  <c:v>-64.169799999999995</c:v>
                </c:pt>
                <c:pt idx="143">
                  <c:v>-64.169799999999995</c:v>
                </c:pt>
                <c:pt idx="144">
                  <c:v>-64.153499999999994</c:v>
                </c:pt>
                <c:pt idx="145">
                  <c:v>-64.153499999999994</c:v>
                </c:pt>
                <c:pt idx="146">
                  <c:v>-64.153499999999994</c:v>
                </c:pt>
                <c:pt idx="147">
                  <c:v>-64.153499999999994</c:v>
                </c:pt>
                <c:pt idx="148">
                  <c:v>-64.153499999999994</c:v>
                </c:pt>
                <c:pt idx="149">
                  <c:v>-64.153499999999994</c:v>
                </c:pt>
                <c:pt idx="150">
                  <c:v>-64.153499999999994</c:v>
                </c:pt>
                <c:pt idx="151">
                  <c:v>-64.153499999999994</c:v>
                </c:pt>
                <c:pt idx="152">
                  <c:v>-64.695999999999998</c:v>
                </c:pt>
                <c:pt idx="153">
                  <c:v>-64.695999999999998</c:v>
                </c:pt>
                <c:pt idx="154">
                  <c:v>-64.695999999999998</c:v>
                </c:pt>
                <c:pt idx="155">
                  <c:v>-64.6952</c:v>
                </c:pt>
                <c:pt idx="156">
                  <c:v>-64.6952</c:v>
                </c:pt>
                <c:pt idx="157">
                  <c:v>-64.6952</c:v>
                </c:pt>
                <c:pt idx="158">
                  <c:v>-64.6952</c:v>
                </c:pt>
                <c:pt idx="159">
                  <c:v>-64.6952</c:v>
                </c:pt>
                <c:pt idx="160">
                  <c:v>-63.085000000000001</c:v>
                </c:pt>
                <c:pt idx="161">
                  <c:v>-63.085000000000001</c:v>
                </c:pt>
                <c:pt idx="162">
                  <c:v>-63.084800000000001</c:v>
                </c:pt>
                <c:pt idx="163">
                  <c:v>-63.084800000000001</c:v>
                </c:pt>
                <c:pt idx="164">
                  <c:v>-63.084800000000001</c:v>
                </c:pt>
                <c:pt idx="165">
                  <c:v>-63.084800000000001</c:v>
                </c:pt>
                <c:pt idx="166">
                  <c:v>-63.084800000000001</c:v>
                </c:pt>
                <c:pt idx="167">
                  <c:v>-63.083269999999999</c:v>
                </c:pt>
                <c:pt idx="168">
                  <c:v>-63.083269999999999</c:v>
                </c:pt>
                <c:pt idx="169">
                  <c:v>-63.083269999999999</c:v>
                </c:pt>
                <c:pt idx="170">
                  <c:v>-63.083269999999999</c:v>
                </c:pt>
                <c:pt idx="171">
                  <c:v>-63.083269999999999</c:v>
                </c:pt>
                <c:pt idx="172">
                  <c:v>-63.083269999999999</c:v>
                </c:pt>
                <c:pt idx="173">
                  <c:v>-63.083159999999999</c:v>
                </c:pt>
                <c:pt idx="174">
                  <c:v>-63.083159999999999</c:v>
                </c:pt>
                <c:pt idx="175">
                  <c:v>-63.083159999999999</c:v>
                </c:pt>
                <c:pt idx="176">
                  <c:v>-63.083159999999999</c:v>
                </c:pt>
                <c:pt idx="177">
                  <c:v>-63.083159999999999</c:v>
                </c:pt>
                <c:pt idx="178">
                  <c:v>-63.083159999999999</c:v>
                </c:pt>
                <c:pt idx="179">
                  <c:v>-62.4</c:v>
                </c:pt>
                <c:pt idx="180">
                  <c:v>-62.4</c:v>
                </c:pt>
                <c:pt idx="181">
                  <c:v>-62.4</c:v>
                </c:pt>
                <c:pt idx="182">
                  <c:v>-62.4</c:v>
                </c:pt>
                <c:pt idx="183">
                  <c:v>-62.4</c:v>
                </c:pt>
                <c:pt idx="184">
                  <c:v>-62.4</c:v>
                </c:pt>
                <c:pt idx="185">
                  <c:v>-62.4</c:v>
                </c:pt>
                <c:pt idx="186">
                  <c:v>-62.4</c:v>
                </c:pt>
                <c:pt idx="187">
                  <c:v>-62.398499999999999</c:v>
                </c:pt>
                <c:pt idx="188">
                  <c:v>-62.398499999999999</c:v>
                </c:pt>
                <c:pt idx="189">
                  <c:v>-62.398499999999999</c:v>
                </c:pt>
                <c:pt idx="190">
                  <c:v>-62.398499999999999</c:v>
                </c:pt>
                <c:pt idx="191">
                  <c:v>-62.398499999999999</c:v>
                </c:pt>
                <c:pt idx="192">
                  <c:v>-55.669800000000002</c:v>
                </c:pt>
                <c:pt idx="193">
                  <c:v>-55.669800000000002</c:v>
                </c:pt>
                <c:pt idx="194">
                  <c:v>-55.669800000000002</c:v>
                </c:pt>
                <c:pt idx="195">
                  <c:v>-55.669800000000002</c:v>
                </c:pt>
                <c:pt idx="196">
                  <c:v>-55.669800000000002</c:v>
                </c:pt>
                <c:pt idx="197">
                  <c:v>-55.664499999999997</c:v>
                </c:pt>
                <c:pt idx="198">
                  <c:v>-55.664499999999997</c:v>
                </c:pt>
                <c:pt idx="199">
                  <c:v>-55.664499999999997</c:v>
                </c:pt>
                <c:pt idx="200">
                  <c:v>-55.660299999999999</c:v>
                </c:pt>
                <c:pt idx="201">
                  <c:v>-55.660299999999999</c:v>
                </c:pt>
                <c:pt idx="202">
                  <c:v>-55.660299999999999</c:v>
                </c:pt>
                <c:pt idx="203">
                  <c:v>-55.660299999999999</c:v>
                </c:pt>
                <c:pt idx="204">
                  <c:v>-55.660299999999999</c:v>
                </c:pt>
                <c:pt idx="205">
                  <c:v>-54.334000000000003</c:v>
                </c:pt>
                <c:pt idx="206">
                  <c:v>-54.334000000000003</c:v>
                </c:pt>
                <c:pt idx="207">
                  <c:v>-54.334000000000003</c:v>
                </c:pt>
                <c:pt idx="208">
                  <c:v>-54.334000000000003</c:v>
                </c:pt>
                <c:pt idx="209">
                  <c:v>-54.334000000000003</c:v>
                </c:pt>
                <c:pt idx="210">
                  <c:v>-54.334000000000003</c:v>
                </c:pt>
                <c:pt idx="211">
                  <c:v>-54.333300000000001</c:v>
                </c:pt>
                <c:pt idx="212">
                  <c:v>-54.333300000000001</c:v>
                </c:pt>
                <c:pt idx="213">
                  <c:v>-54.333300000000001</c:v>
                </c:pt>
                <c:pt idx="214">
                  <c:v>-54.333300000000001</c:v>
                </c:pt>
                <c:pt idx="215">
                  <c:v>-54.333300000000001</c:v>
                </c:pt>
                <c:pt idx="216">
                  <c:v>-54.333300000000001</c:v>
                </c:pt>
                <c:pt idx="217">
                  <c:v>-54.333300000000001</c:v>
                </c:pt>
                <c:pt idx="218">
                  <c:v>-54.333300000000001</c:v>
                </c:pt>
                <c:pt idx="219">
                  <c:v>-52.938800000000001</c:v>
                </c:pt>
                <c:pt idx="220">
                  <c:v>-52.938800000000001</c:v>
                </c:pt>
                <c:pt idx="221">
                  <c:v>-52.938800000000001</c:v>
                </c:pt>
                <c:pt idx="222">
                  <c:v>-52.938800000000001</c:v>
                </c:pt>
                <c:pt idx="223">
                  <c:v>-52.982300000000002</c:v>
                </c:pt>
                <c:pt idx="224">
                  <c:v>-52.982300000000002</c:v>
                </c:pt>
                <c:pt idx="225">
                  <c:v>-52.982300000000002</c:v>
                </c:pt>
                <c:pt idx="226">
                  <c:v>-52.989699999999999</c:v>
                </c:pt>
                <c:pt idx="227">
                  <c:v>-52.989699999999999</c:v>
                </c:pt>
                <c:pt idx="228">
                  <c:v>-52.989699999999999</c:v>
                </c:pt>
                <c:pt idx="229">
                  <c:v>-52.989699999999999</c:v>
                </c:pt>
                <c:pt idx="230">
                  <c:v>-52.989699999999999</c:v>
                </c:pt>
                <c:pt idx="231">
                  <c:v>-52.966900000000003</c:v>
                </c:pt>
                <c:pt idx="232">
                  <c:v>-52.966900000000003</c:v>
                </c:pt>
                <c:pt idx="233">
                  <c:v>-52.966900000000003</c:v>
                </c:pt>
                <c:pt idx="234">
                  <c:v>-52.966900000000003</c:v>
                </c:pt>
                <c:pt idx="235">
                  <c:v>-52.966900000000003</c:v>
                </c:pt>
                <c:pt idx="236">
                  <c:v>-52.966900000000003</c:v>
                </c:pt>
                <c:pt idx="237">
                  <c:v>-52.966900000000003</c:v>
                </c:pt>
                <c:pt idx="238">
                  <c:v>-52.966900000000003</c:v>
                </c:pt>
                <c:pt idx="239">
                  <c:v>-56.849939999999997</c:v>
                </c:pt>
                <c:pt idx="240">
                  <c:v>-56.849939999999997</c:v>
                </c:pt>
                <c:pt idx="241">
                  <c:v>-56.849939999999997</c:v>
                </c:pt>
                <c:pt idx="242">
                  <c:v>-56.849939999999997</c:v>
                </c:pt>
                <c:pt idx="243">
                  <c:v>-56.849939999999997</c:v>
                </c:pt>
                <c:pt idx="244">
                  <c:v>-56.849939999999997</c:v>
                </c:pt>
                <c:pt idx="245">
                  <c:v>-56.849939999999997</c:v>
                </c:pt>
                <c:pt idx="246">
                  <c:v>-56.849939999999997</c:v>
                </c:pt>
                <c:pt idx="247">
                  <c:v>-56.849989999999998</c:v>
                </c:pt>
                <c:pt idx="248">
                  <c:v>-56.849989999999998</c:v>
                </c:pt>
                <c:pt idx="249">
                  <c:v>-56.849989999999998</c:v>
                </c:pt>
                <c:pt idx="250">
                  <c:v>-56.849989999999998</c:v>
                </c:pt>
                <c:pt idx="251">
                  <c:v>-58.5</c:v>
                </c:pt>
                <c:pt idx="252">
                  <c:v>-58.5</c:v>
                </c:pt>
                <c:pt idx="253">
                  <c:v>-58.5</c:v>
                </c:pt>
                <c:pt idx="254">
                  <c:v>-58.5</c:v>
                </c:pt>
                <c:pt idx="255">
                  <c:v>-58.5</c:v>
                </c:pt>
                <c:pt idx="256">
                  <c:v>-58.5</c:v>
                </c:pt>
                <c:pt idx="257">
                  <c:v>-58.5</c:v>
                </c:pt>
                <c:pt idx="258">
                  <c:v>-58.5</c:v>
                </c:pt>
                <c:pt idx="259">
                  <c:v>-60.233319999999999</c:v>
                </c:pt>
                <c:pt idx="260">
                  <c:v>-60.233319999999999</c:v>
                </c:pt>
                <c:pt idx="261">
                  <c:v>-60.233319999999999</c:v>
                </c:pt>
                <c:pt idx="262">
                  <c:v>-60.233319999999999</c:v>
                </c:pt>
                <c:pt idx="263">
                  <c:v>-60.233319999999999</c:v>
                </c:pt>
                <c:pt idx="264">
                  <c:v>-60.233319999999999</c:v>
                </c:pt>
                <c:pt idx="265">
                  <c:v>-60.233319999999999</c:v>
                </c:pt>
                <c:pt idx="266">
                  <c:v>-60.233319999999999</c:v>
                </c:pt>
                <c:pt idx="267">
                  <c:v>-60.233359999999998</c:v>
                </c:pt>
                <c:pt idx="268">
                  <c:v>-60.233359999999998</c:v>
                </c:pt>
                <c:pt idx="269">
                  <c:v>-60.233359999999998</c:v>
                </c:pt>
                <c:pt idx="270">
                  <c:v>-60.233359999999998</c:v>
                </c:pt>
                <c:pt idx="271">
                  <c:v>-63.083410000000001</c:v>
                </c:pt>
                <c:pt idx="272">
                  <c:v>-63.083410000000001</c:v>
                </c:pt>
                <c:pt idx="273">
                  <c:v>-63.083410000000001</c:v>
                </c:pt>
                <c:pt idx="274">
                  <c:v>-64.700040000000001</c:v>
                </c:pt>
                <c:pt idx="275">
                  <c:v>-64.700040000000001</c:v>
                </c:pt>
                <c:pt idx="276">
                  <c:v>-64.700040000000001</c:v>
                </c:pt>
                <c:pt idx="277">
                  <c:v>-64.700040000000001</c:v>
                </c:pt>
                <c:pt idx="278">
                  <c:v>-64.700040000000001</c:v>
                </c:pt>
                <c:pt idx="279">
                  <c:v>-64.700040000000001</c:v>
                </c:pt>
                <c:pt idx="280">
                  <c:v>-64.700040000000001</c:v>
                </c:pt>
                <c:pt idx="281">
                  <c:v>-64.700040000000001</c:v>
                </c:pt>
                <c:pt idx="282">
                  <c:v>-66.099980000000002</c:v>
                </c:pt>
                <c:pt idx="283">
                  <c:v>-66.099980000000002</c:v>
                </c:pt>
                <c:pt idx="284">
                  <c:v>-66.099980000000002</c:v>
                </c:pt>
                <c:pt idx="285">
                  <c:v>-66.099980000000002</c:v>
                </c:pt>
                <c:pt idx="286">
                  <c:v>-69.296149999999997</c:v>
                </c:pt>
                <c:pt idx="287">
                  <c:v>-69.296149999999997</c:v>
                </c:pt>
                <c:pt idx="288">
                  <c:v>-69.296149999999997</c:v>
                </c:pt>
                <c:pt idx="289">
                  <c:v>-69.296149999999997</c:v>
                </c:pt>
                <c:pt idx="290">
                  <c:v>-69.296149999999997</c:v>
                </c:pt>
                <c:pt idx="291">
                  <c:v>-69.296149999999997</c:v>
                </c:pt>
                <c:pt idx="292">
                  <c:v>-69.296149999999997</c:v>
                </c:pt>
                <c:pt idx="293">
                  <c:v>-69.296149999999997</c:v>
                </c:pt>
                <c:pt idx="294">
                  <c:v>-70.40016</c:v>
                </c:pt>
                <c:pt idx="295">
                  <c:v>-70.40016</c:v>
                </c:pt>
                <c:pt idx="296">
                  <c:v>-70.40016</c:v>
                </c:pt>
                <c:pt idx="297">
                  <c:v>-70.40016</c:v>
                </c:pt>
                <c:pt idx="298">
                  <c:v>-70.40016</c:v>
                </c:pt>
                <c:pt idx="299">
                  <c:v>-70.40016</c:v>
                </c:pt>
                <c:pt idx="300">
                  <c:v>-70.40016</c:v>
                </c:pt>
                <c:pt idx="301">
                  <c:v>-70.40016</c:v>
                </c:pt>
                <c:pt idx="302">
                  <c:v>-71.307109999999994</c:v>
                </c:pt>
                <c:pt idx="303">
                  <c:v>-71.307109999999994</c:v>
                </c:pt>
                <c:pt idx="304">
                  <c:v>-71.307109999999994</c:v>
                </c:pt>
                <c:pt idx="305">
                  <c:v>-71.307109999999994</c:v>
                </c:pt>
                <c:pt idx="306">
                  <c:v>-71.307109999999994</c:v>
                </c:pt>
                <c:pt idx="307">
                  <c:v>-71.307109999999994</c:v>
                </c:pt>
                <c:pt idx="308">
                  <c:v>-71.307109999999994</c:v>
                </c:pt>
                <c:pt idx="309">
                  <c:v>-71.307109999999994</c:v>
                </c:pt>
                <c:pt idx="310">
                  <c:v>-69.299989999999994</c:v>
                </c:pt>
                <c:pt idx="311">
                  <c:v>-69.299989999999994</c:v>
                </c:pt>
                <c:pt idx="312">
                  <c:v>-69.299989999999994</c:v>
                </c:pt>
                <c:pt idx="313">
                  <c:v>-69.299989999999994</c:v>
                </c:pt>
                <c:pt idx="314">
                  <c:v>-69.299989999999994</c:v>
                </c:pt>
                <c:pt idx="315">
                  <c:v>-69.299989999999994</c:v>
                </c:pt>
                <c:pt idx="316">
                  <c:v>-69.299989999999994</c:v>
                </c:pt>
                <c:pt idx="317">
                  <c:v>-69.299989999999994</c:v>
                </c:pt>
                <c:pt idx="318">
                  <c:v>-69.3</c:v>
                </c:pt>
                <c:pt idx="319">
                  <c:v>-69.3</c:v>
                </c:pt>
                <c:pt idx="320">
                  <c:v>-69.3</c:v>
                </c:pt>
                <c:pt idx="321">
                  <c:v>-69.3</c:v>
                </c:pt>
                <c:pt idx="322">
                  <c:v>-69.3</c:v>
                </c:pt>
                <c:pt idx="323">
                  <c:v>-69.3</c:v>
                </c:pt>
                <c:pt idx="324">
                  <c:v>-69.3</c:v>
                </c:pt>
                <c:pt idx="325">
                  <c:v>-67.499899999999997</c:v>
                </c:pt>
                <c:pt idx="326">
                  <c:v>-67.499899999999997</c:v>
                </c:pt>
                <c:pt idx="327">
                  <c:v>-67.499899999999997</c:v>
                </c:pt>
                <c:pt idx="328">
                  <c:v>-67.499899999999997</c:v>
                </c:pt>
                <c:pt idx="329">
                  <c:v>-67.499899999999997</c:v>
                </c:pt>
                <c:pt idx="330">
                  <c:v>-67.499899999999997</c:v>
                </c:pt>
                <c:pt idx="331">
                  <c:v>-67.499899999999997</c:v>
                </c:pt>
                <c:pt idx="332">
                  <c:v>-67.499899999999997</c:v>
                </c:pt>
                <c:pt idx="333">
                  <c:v>-66.100139999999996</c:v>
                </c:pt>
                <c:pt idx="334">
                  <c:v>-66.100139999999996</c:v>
                </c:pt>
                <c:pt idx="335">
                  <c:v>-66.100139999999996</c:v>
                </c:pt>
                <c:pt idx="336">
                  <c:v>-66.100139999999996</c:v>
                </c:pt>
                <c:pt idx="337">
                  <c:v>-66.100139999999996</c:v>
                </c:pt>
                <c:pt idx="338">
                  <c:v>-66.100139999999996</c:v>
                </c:pt>
                <c:pt idx="339">
                  <c:v>-66.100139999999996</c:v>
                </c:pt>
                <c:pt idx="340">
                  <c:v>-66.100139999999996</c:v>
                </c:pt>
                <c:pt idx="341">
                  <c:v>-64.700059999999993</c:v>
                </c:pt>
                <c:pt idx="342">
                  <c:v>-64.700059999999993</c:v>
                </c:pt>
                <c:pt idx="343">
                  <c:v>-64.700059999999993</c:v>
                </c:pt>
                <c:pt idx="344">
                  <c:v>-64.700059999999993</c:v>
                </c:pt>
                <c:pt idx="345">
                  <c:v>-64.700059999999993</c:v>
                </c:pt>
                <c:pt idx="346">
                  <c:v>-64.700059999999993</c:v>
                </c:pt>
                <c:pt idx="347">
                  <c:v>-64.700059999999993</c:v>
                </c:pt>
                <c:pt idx="348">
                  <c:v>-64.700059999999993</c:v>
                </c:pt>
                <c:pt idx="349">
                  <c:v>-63.08334</c:v>
                </c:pt>
                <c:pt idx="350">
                  <c:v>-63.08334</c:v>
                </c:pt>
                <c:pt idx="351">
                  <c:v>-63.08334</c:v>
                </c:pt>
                <c:pt idx="352">
                  <c:v>-63.08334</c:v>
                </c:pt>
                <c:pt idx="353">
                  <c:v>-61.666739999999997</c:v>
                </c:pt>
                <c:pt idx="354">
                  <c:v>-61.666739999999997</c:v>
                </c:pt>
                <c:pt idx="355">
                  <c:v>-61.666739999999997</c:v>
                </c:pt>
                <c:pt idx="356">
                  <c:v>-61.666739999999997</c:v>
                </c:pt>
                <c:pt idx="357">
                  <c:v>-61.666739999999997</c:v>
                </c:pt>
                <c:pt idx="358">
                  <c:v>-61.666739999999997</c:v>
                </c:pt>
                <c:pt idx="359">
                  <c:v>-61.666739999999997</c:v>
                </c:pt>
                <c:pt idx="360">
                  <c:v>-61.666739999999997</c:v>
                </c:pt>
                <c:pt idx="361">
                  <c:v>-61.666319999999999</c:v>
                </c:pt>
                <c:pt idx="362">
                  <c:v>-61.666319999999999</c:v>
                </c:pt>
                <c:pt idx="363">
                  <c:v>-61.666319999999999</c:v>
                </c:pt>
                <c:pt idx="364">
                  <c:v>-61.666319999999999</c:v>
                </c:pt>
                <c:pt idx="365">
                  <c:v>-61.666319999999999</c:v>
                </c:pt>
                <c:pt idx="366">
                  <c:v>-54.333309999999997</c:v>
                </c:pt>
                <c:pt idx="367">
                  <c:v>-54.333309999999997</c:v>
                </c:pt>
                <c:pt idx="368">
                  <c:v>-54.333309999999997</c:v>
                </c:pt>
                <c:pt idx="369">
                  <c:v>-54.333309999999997</c:v>
                </c:pt>
                <c:pt idx="370">
                  <c:v>-54.333309999999997</c:v>
                </c:pt>
                <c:pt idx="371">
                  <c:v>-54.333309999999997</c:v>
                </c:pt>
                <c:pt idx="372">
                  <c:v>-54.333309999999997</c:v>
                </c:pt>
                <c:pt idx="373">
                  <c:v>22.388200000000001</c:v>
                </c:pt>
                <c:pt idx="374">
                  <c:v>22.388200000000001</c:v>
                </c:pt>
                <c:pt idx="375">
                  <c:v>22.482500000000002</c:v>
                </c:pt>
                <c:pt idx="376">
                  <c:v>22.482500000000002</c:v>
                </c:pt>
                <c:pt idx="377">
                  <c:v>22.482500000000002</c:v>
                </c:pt>
                <c:pt idx="378">
                  <c:v>22.482500000000002</c:v>
                </c:pt>
                <c:pt idx="379">
                  <c:v>22.482500000000002</c:v>
                </c:pt>
                <c:pt idx="380">
                  <c:v>22.482500000000002</c:v>
                </c:pt>
                <c:pt idx="381">
                  <c:v>22.482500000000002</c:v>
                </c:pt>
                <c:pt idx="382">
                  <c:v>21.836300000000001</c:v>
                </c:pt>
                <c:pt idx="383">
                  <c:v>21.836300000000001</c:v>
                </c:pt>
                <c:pt idx="384">
                  <c:v>21.836300000000001</c:v>
                </c:pt>
                <c:pt idx="385">
                  <c:v>21.836300000000001</c:v>
                </c:pt>
                <c:pt idx="386">
                  <c:v>21.836300000000001</c:v>
                </c:pt>
                <c:pt idx="387">
                  <c:v>21.836300000000001</c:v>
                </c:pt>
                <c:pt idx="388">
                  <c:v>21.836300000000001</c:v>
                </c:pt>
                <c:pt idx="389">
                  <c:v>21.178799999999999</c:v>
                </c:pt>
                <c:pt idx="390">
                  <c:v>21.178799999999999</c:v>
                </c:pt>
                <c:pt idx="391">
                  <c:v>21.178799999999999</c:v>
                </c:pt>
                <c:pt idx="392">
                  <c:v>21.178799999999999</c:v>
                </c:pt>
                <c:pt idx="393">
                  <c:v>21.178799999999999</c:v>
                </c:pt>
                <c:pt idx="394">
                  <c:v>21.178799999999999</c:v>
                </c:pt>
                <c:pt idx="395">
                  <c:v>21.178799999999999</c:v>
                </c:pt>
                <c:pt idx="396">
                  <c:v>20.564399999999999</c:v>
                </c:pt>
                <c:pt idx="397">
                  <c:v>20.564399999999999</c:v>
                </c:pt>
                <c:pt idx="398">
                  <c:v>20.564399999999999</c:v>
                </c:pt>
                <c:pt idx="399">
                  <c:v>20.564399999999999</c:v>
                </c:pt>
                <c:pt idx="400">
                  <c:v>20.564399999999999</c:v>
                </c:pt>
                <c:pt idx="401">
                  <c:v>20.564399999999999</c:v>
                </c:pt>
                <c:pt idx="402">
                  <c:v>20.564399999999999</c:v>
                </c:pt>
                <c:pt idx="403">
                  <c:v>20.564399999999999</c:v>
                </c:pt>
                <c:pt idx="404">
                  <c:v>19.8766</c:v>
                </c:pt>
                <c:pt idx="405">
                  <c:v>19.8766</c:v>
                </c:pt>
                <c:pt idx="406">
                  <c:v>19.8766</c:v>
                </c:pt>
                <c:pt idx="407">
                  <c:v>19.8766</c:v>
                </c:pt>
                <c:pt idx="408">
                  <c:v>19.8766</c:v>
                </c:pt>
                <c:pt idx="409">
                  <c:v>19.8766</c:v>
                </c:pt>
                <c:pt idx="410">
                  <c:v>19.8766</c:v>
                </c:pt>
                <c:pt idx="411">
                  <c:v>19.8766</c:v>
                </c:pt>
                <c:pt idx="412">
                  <c:v>19.167300000000001</c:v>
                </c:pt>
                <c:pt idx="413">
                  <c:v>19.167300000000001</c:v>
                </c:pt>
                <c:pt idx="414">
                  <c:v>19.167300000000001</c:v>
                </c:pt>
                <c:pt idx="415">
                  <c:v>19.167300000000001</c:v>
                </c:pt>
                <c:pt idx="416">
                  <c:v>19.167300000000001</c:v>
                </c:pt>
                <c:pt idx="417">
                  <c:v>19.167300000000001</c:v>
                </c:pt>
                <c:pt idx="418">
                  <c:v>19.167300000000001</c:v>
                </c:pt>
                <c:pt idx="419">
                  <c:v>19.167300000000001</c:v>
                </c:pt>
                <c:pt idx="420">
                  <c:v>19.1541</c:v>
                </c:pt>
                <c:pt idx="421">
                  <c:v>19.1541</c:v>
                </c:pt>
                <c:pt idx="422">
                  <c:v>19.1541</c:v>
                </c:pt>
                <c:pt idx="423">
                  <c:v>19.1541</c:v>
                </c:pt>
                <c:pt idx="424">
                  <c:v>19.1541</c:v>
                </c:pt>
                <c:pt idx="425">
                  <c:v>19.1541</c:v>
                </c:pt>
                <c:pt idx="426">
                  <c:v>19.1541</c:v>
                </c:pt>
                <c:pt idx="427">
                  <c:v>19.1541</c:v>
                </c:pt>
                <c:pt idx="428">
                  <c:v>19.165299999999998</c:v>
                </c:pt>
                <c:pt idx="429">
                  <c:v>19.165299999999998</c:v>
                </c:pt>
                <c:pt idx="430">
                  <c:v>19.165299999999998</c:v>
                </c:pt>
                <c:pt idx="431">
                  <c:v>19.165299999999998</c:v>
                </c:pt>
                <c:pt idx="432">
                  <c:v>19.165299999999998</c:v>
                </c:pt>
                <c:pt idx="433">
                  <c:v>19.165299999999998</c:v>
                </c:pt>
                <c:pt idx="434">
                  <c:v>19.165299999999998</c:v>
                </c:pt>
                <c:pt idx="435">
                  <c:v>19.165299999999998</c:v>
                </c:pt>
                <c:pt idx="436">
                  <c:v>18.289899999999999</c:v>
                </c:pt>
                <c:pt idx="437">
                  <c:v>18.289899999999999</c:v>
                </c:pt>
                <c:pt idx="438">
                  <c:v>18.289899999999999</c:v>
                </c:pt>
                <c:pt idx="439">
                  <c:v>18.289899999999999</c:v>
                </c:pt>
                <c:pt idx="440">
                  <c:v>18.289899999999999</c:v>
                </c:pt>
                <c:pt idx="441">
                  <c:v>18.289899999999999</c:v>
                </c:pt>
                <c:pt idx="442">
                  <c:v>18.289899999999999</c:v>
                </c:pt>
                <c:pt idx="443">
                  <c:v>18.289899999999999</c:v>
                </c:pt>
                <c:pt idx="444">
                  <c:v>17.321999999999999</c:v>
                </c:pt>
                <c:pt idx="445">
                  <c:v>17.321999999999999</c:v>
                </c:pt>
                <c:pt idx="446">
                  <c:v>17.321999999999999</c:v>
                </c:pt>
                <c:pt idx="447">
                  <c:v>17.321999999999999</c:v>
                </c:pt>
                <c:pt idx="448">
                  <c:v>17.321999999999999</c:v>
                </c:pt>
                <c:pt idx="449">
                  <c:v>17.321999999999999</c:v>
                </c:pt>
                <c:pt idx="450">
                  <c:v>17.321999999999999</c:v>
                </c:pt>
                <c:pt idx="451">
                  <c:v>17.321999999999999</c:v>
                </c:pt>
                <c:pt idx="452">
                  <c:v>15.3855</c:v>
                </c:pt>
                <c:pt idx="453">
                  <c:v>15.3855</c:v>
                </c:pt>
                <c:pt idx="454">
                  <c:v>15.3855</c:v>
                </c:pt>
                <c:pt idx="455">
                  <c:v>15.3855</c:v>
                </c:pt>
                <c:pt idx="456">
                  <c:v>15.3855</c:v>
                </c:pt>
                <c:pt idx="457">
                  <c:v>15.3855</c:v>
                </c:pt>
                <c:pt idx="458">
                  <c:v>15.3855</c:v>
                </c:pt>
                <c:pt idx="459">
                  <c:v>15.3855</c:v>
                </c:pt>
                <c:pt idx="460">
                  <c:v>15.4008</c:v>
                </c:pt>
                <c:pt idx="461">
                  <c:v>15.4008</c:v>
                </c:pt>
                <c:pt idx="462">
                  <c:v>15.4008</c:v>
                </c:pt>
                <c:pt idx="463">
                  <c:v>15.4008</c:v>
                </c:pt>
                <c:pt idx="464">
                  <c:v>15.4008</c:v>
                </c:pt>
                <c:pt idx="465">
                  <c:v>15.4008</c:v>
                </c:pt>
                <c:pt idx="466">
                  <c:v>15.4008</c:v>
                </c:pt>
                <c:pt idx="467">
                  <c:v>10.005699999999999</c:v>
                </c:pt>
                <c:pt idx="468">
                  <c:v>10.005699999999999</c:v>
                </c:pt>
                <c:pt idx="469">
                  <c:v>10.005699999999999</c:v>
                </c:pt>
                <c:pt idx="470">
                  <c:v>10.005699999999999</c:v>
                </c:pt>
                <c:pt idx="471">
                  <c:v>10.005699999999999</c:v>
                </c:pt>
                <c:pt idx="472">
                  <c:v>10.005699999999999</c:v>
                </c:pt>
                <c:pt idx="473">
                  <c:v>10.005699999999999</c:v>
                </c:pt>
                <c:pt idx="474">
                  <c:v>10.005699999999999</c:v>
                </c:pt>
                <c:pt idx="475">
                  <c:v>12.059799999999999</c:v>
                </c:pt>
                <c:pt idx="476">
                  <c:v>12.059799999999999</c:v>
                </c:pt>
                <c:pt idx="477">
                  <c:v>12.059799999999999</c:v>
                </c:pt>
                <c:pt idx="478">
                  <c:v>12.059799999999999</c:v>
                </c:pt>
                <c:pt idx="479">
                  <c:v>12.059799999999999</c:v>
                </c:pt>
                <c:pt idx="480">
                  <c:v>12.059799999999999</c:v>
                </c:pt>
                <c:pt idx="481">
                  <c:v>12.059799999999999</c:v>
                </c:pt>
                <c:pt idx="482">
                  <c:v>12.059799999999999</c:v>
                </c:pt>
                <c:pt idx="483">
                  <c:v>13.255599999999999</c:v>
                </c:pt>
                <c:pt idx="484">
                  <c:v>13.255599999999999</c:v>
                </c:pt>
                <c:pt idx="485">
                  <c:v>13.255599999999999</c:v>
                </c:pt>
                <c:pt idx="486">
                  <c:v>13.255599999999999</c:v>
                </c:pt>
                <c:pt idx="487">
                  <c:v>14.480600000000001</c:v>
                </c:pt>
                <c:pt idx="488">
                  <c:v>14.480600000000001</c:v>
                </c:pt>
                <c:pt idx="489">
                  <c:v>14.480600000000001</c:v>
                </c:pt>
                <c:pt idx="490">
                  <c:v>14.480600000000001</c:v>
                </c:pt>
                <c:pt idx="491">
                  <c:v>14.480600000000001</c:v>
                </c:pt>
                <c:pt idx="492">
                  <c:v>14.480600000000001</c:v>
                </c:pt>
                <c:pt idx="493">
                  <c:v>14.480600000000001</c:v>
                </c:pt>
                <c:pt idx="494">
                  <c:v>14.835000000000001</c:v>
                </c:pt>
                <c:pt idx="495">
                  <c:v>14.835000000000001</c:v>
                </c:pt>
                <c:pt idx="496">
                  <c:v>14.835000000000001</c:v>
                </c:pt>
                <c:pt idx="497">
                  <c:v>14.835000000000001</c:v>
                </c:pt>
                <c:pt idx="498">
                  <c:v>14.835000000000001</c:v>
                </c:pt>
                <c:pt idx="499">
                  <c:v>14.835000000000001</c:v>
                </c:pt>
                <c:pt idx="500">
                  <c:v>14.835000000000001</c:v>
                </c:pt>
                <c:pt idx="501">
                  <c:v>14.835000000000001</c:v>
                </c:pt>
                <c:pt idx="502">
                  <c:v>15.2499</c:v>
                </c:pt>
                <c:pt idx="503">
                  <c:v>15.2499</c:v>
                </c:pt>
                <c:pt idx="504">
                  <c:v>15.2499</c:v>
                </c:pt>
                <c:pt idx="505">
                  <c:v>15.2499</c:v>
                </c:pt>
                <c:pt idx="506">
                  <c:v>15.2499</c:v>
                </c:pt>
                <c:pt idx="507">
                  <c:v>15.2499</c:v>
                </c:pt>
                <c:pt idx="508">
                  <c:v>15.2499</c:v>
                </c:pt>
                <c:pt idx="509">
                  <c:v>15.2499</c:v>
                </c:pt>
                <c:pt idx="510">
                  <c:v>16.000299999999999</c:v>
                </c:pt>
                <c:pt idx="511">
                  <c:v>16.000299999999999</c:v>
                </c:pt>
                <c:pt idx="512">
                  <c:v>16.000299999999999</c:v>
                </c:pt>
                <c:pt idx="513">
                  <c:v>16.000299999999999</c:v>
                </c:pt>
                <c:pt idx="514">
                  <c:v>16.000299999999999</c:v>
                </c:pt>
                <c:pt idx="515">
                  <c:v>16.000299999999999</c:v>
                </c:pt>
                <c:pt idx="516">
                  <c:v>16.000299999999999</c:v>
                </c:pt>
                <c:pt idx="517">
                  <c:v>16.000299999999999</c:v>
                </c:pt>
                <c:pt idx="518">
                  <c:v>15.9961</c:v>
                </c:pt>
                <c:pt idx="519">
                  <c:v>16.136299999999999</c:v>
                </c:pt>
                <c:pt idx="520">
                  <c:v>16.136299999999999</c:v>
                </c:pt>
                <c:pt idx="521">
                  <c:v>16.816299999999998</c:v>
                </c:pt>
                <c:pt idx="522">
                  <c:v>16.816299999999998</c:v>
                </c:pt>
                <c:pt idx="523">
                  <c:v>16.816299999999998</c:v>
                </c:pt>
                <c:pt idx="524">
                  <c:v>16.816299999999998</c:v>
                </c:pt>
                <c:pt idx="525">
                  <c:v>16.816299999999998</c:v>
                </c:pt>
                <c:pt idx="526">
                  <c:v>16.816299999999998</c:v>
                </c:pt>
                <c:pt idx="527">
                  <c:v>16.816299999999998</c:v>
                </c:pt>
                <c:pt idx="528">
                  <c:v>16.816299999999998</c:v>
                </c:pt>
                <c:pt idx="529">
                  <c:v>17.258099999999999</c:v>
                </c:pt>
                <c:pt idx="530">
                  <c:v>17.258099999999999</c:v>
                </c:pt>
                <c:pt idx="531">
                  <c:v>17.258099999999999</c:v>
                </c:pt>
                <c:pt idx="532">
                  <c:v>17.258099999999999</c:v>
                </c:pt>
                <c:pt idx="533">
                  <c:v>17.258099999999999</c:v>
                </c:pt>
                <c:pt idx="534">
                  <c:v>17.258099999999999</c:v>
                </c:pt>
                <c:pt idx="535">
                  <c:v>17.258099999999999</c:v>
                </c:pt>
                <c:pt idx="536">
                  <c:v>17.258099999999999</c:v>
                </c:pt>
                <c:pt idx="537">
                  <c:v>17.198899999999998</c:v>
                </c:pt>
                <c:pt idx="538">
                  <c:v>17.198899999999998</c:v>
                </c:pt>
                <c:pt idx="539">
                  <c:v>17.198899999999998</c:v>
                </c:pt>
                <c:pt idx="540">
                  <c:v>17.198899999999998</c:v>
                </c:pt>
                <c:pt idx="541">
                  <c:v>17.197900000000001</c:v>
                </c:pt>
                <c:pt idx="542">
                  <c:v>17.197900000000001</c:v>
                </c:pt>
                <c:pt idx="543">
                  <c:v>17.683900000000001</c:v>
                </c:pt>
                <c:pt idx="544">
                  <c:v>17.683900000000001</c:v>
                </c:pt>
                <c:pt idx="545">
                  <c:v>17.683900000000001</c:v>
                </c:pt>
                <c:pt idx="546">
                  <c:v>17.683900000000001</c:v>
                </c:pt>
                <c:pt idx="547">
                  <c:v>17.683900000000001</c:v>
                </c:pt>
                <c:pt idx="548">
                  <c:v>17.683900000000001</c:v>
                </c:pt>
                <c:pt idx="549">
                  <c:v>17.683900000000001</c:v>
                </c:pt>
                <c:pt idx="550">
                  <c:v>17.683900000000001</c:v>
                </c:pt>
                <c:pt idx="551">
                  <c:v>18.083500000000001</c:v>
                </c:pt>
                <c:pt idx="552">
                  <c:v>18.083500000000001</c:v>
                </c:pt>
                <c:pt idx="553">
                  <c:v>18.083500000000001</c:v>
                </c:pt>
                <c:pt idx="554">
                  <c:v>18.083500000000001</c:v>
                </c:pt>
                <c:pt idx="555">
                  <c:v>18.083500000000001</c:v>
                </c:pt>
                <c:pt idx="556">
                  <c:v>18.083500000000001</c:v>
                </c:pt>
                <c:pt idx="557">
                  <c:v>18.083500000000001</c:v>
                </c:pt>
                <c:pt idx="558">
                  <c:v>18.083500000000001</c:v>
                </c:pt>
                <c:pt idx="559">
                  <c:v>18.4495</c:v>
                </c:pt>
                <c:pt idx="560">
                  <c:v>18.4495</c:v>
                </c:pt>
                <c:pt idx="561">
                  <c:v>18.4495</c:v>
                </c:pt>
                <c:pt idx="562">
                  <c:v>18.4495</c:v>
                </c:pt>
                <c:pt idx="563">
                  <c:v>18.4495</c:v>
                </c:pt>
                <c:pt idx="564">
                  <c:v>18.4495</c:v>
                </c:pt>
                <c:pt idx="565">
                  <c:v>18.4495</c:v>
                </c:pt>
                <c:pt idx="566">
                  <c:v>18.4495</c:v>
                </c:pt>
                <c:pt idx="567">
                  <c:v>38.293577999999997</c:v>
                </c:pt>
                <c:pt idx="568">
                  <c:v>38.293577999999997</c:v>
                </c:pt>
                <c:pt idx="569">
                  <c:v>38.293577999999997</c:v>
                </c:pt>
                <c:pt idx="570">
                  <c:v>38.293577999999997</c:v>
                </c:pt>
                <c:pt idx="571">
                  <c:v>38.293577999999997</c:v>
                </c:pt>
                <c:pt idx="572">
                  <c:v>38.293577999999997</c:v>
                </c:pt>
                <c:pt idx="573">
                  <c:v>38.293577999999997</c:v>
                </c:pt>
                <c:pt idx="574">
                  <c:v>38.293577999999997</c:v>
                </c:pt>
                <c:pt idx="575">
                  <c:v>38.293577999999997</c:v>
                </c:pt>
                <c:pt idx="576">
                  <c:v>38.293577999999997</c:v>
                </c:pt>
                <c:pt idx="577">
                  <c:v>38.293577999999997</c:v>
                </c:pt>
                <c:pt idx="578">
                  <c:v>38.293577999999997</c:v>
                </c:pt>
                <c:pt idx="579">
                  <c:v>38.293577999999997</c:v>
                </c:pt>
                <c:pt idx="580">
                  <c:v>38.293577999999997</c:v>
                </c:pt>
                <c:pt idx="581">
                  <c:v>38.293577999999997</c:v>
                </c:pt>
                <c:pt idx="582">
                  <c:v>38.293577999999997</c:v>
                </c:pt>
                <c:pt idx="583">
                  <c:v>38.293577999999997</c:v>
                </c:pt>
                <c:pt idx="584">
                  <c:v>38.293577999999997</c:v>
                </c:pt>
                <c:pt idx="585">
                  <c:v>38.293577999999997</c:v>
                </c:pt>
                <c:pt idx="586">
                  <c:v>38.293577999999997</c:v>
                </c:pt>
                <c:pt idx="587">
                  <c:v>38.293577999999997</c:v>
                </c:pt>
                <c:pt idx="588">
                  <c:v>38.293577999999997</c:v>
                </c:pt>
                <c:pt idx="589">
                  <c:v>38.293577999999997</c:v>
                </c:pt>
                <c:pt idx="590">
                  <c:v>38.293577999999997</c:v>
                </c:pt>
                <c:pt idx="591">
                  <c:v>38.293577999999997</c:v>
                </c:pt>
                <c:pt idx="592">
                  <c:v>38.293577999999997</c:v>
                </c:pt>
                <c:pt idx="593">
                  <c:v>38.293577999999997</c:v>
                </c:pt>
                <c:pt idx="594">
                  <c:v>38.293577999999997</c:v>
                </c:pt>
                <c:pt idx="595">
                  <c:v>39.133088000000001</c:v>
                </c:pt>
                <c:pt idx="596">
                  <c:v>39.133088000000001</c:v>
                </c:pt>
                <c:pt idx="597">
                  <c:v>39.133088000000001</c:v>
                </c:pt>
                <c:pt idx="598">
                  <c:v>39.133088000000001</c:v>
                </c:pt>
                <c:pt idx="599">
                  <c:v>38.293577999999997</c:v>
                </c:pt>
                <c:pt idx="600">
                  <c:v>38.293577999999997</c:v>
                </c:pt>
                <c:pt idx="601">
                  <c:v>38.293577999999997</c:v>
                </c:pt>
                <c:pt idx="602">
                  <c:v>38.293577999999997</c:v>
                </c:pt>
                <c:pt idx="603">
                  <c:v>37.516432999999999</c:v>
                </c:pt>
                <c:pt idx="604">
                  <c:v>37.516432999999999</c:v>
                </c:pt>
                <c:pt idx="605">
                  <c:v>37.516432999999999</c:v>
                </c:pt>
                <c:pt idx="606">
                  <c:v>37.516432999999999</c:v>
                </c:pt>
                <c:pt idx="607">
                  <c:v>-76.5642</c:v>
                </c:pt>
                <c:pt idx="608">
                  <c:v>-76.5642</c:v>
                </c:pt>
                <c:pt idx="609">
                  <c:v>-76.5642</c:v>
                </c:pt>
                <c:pt idx="610">
                  <c:v>-76.5642</c:v>
                </c:pt>
                <c:pt idx="611">
                  <c:v>-76.5642</c:v>
                </c:pt>
                <c:pt idx="612">
                  <c:v>-76.5642</c:v>
                </c:pt>
                <c:pt idx="613">
                  <c:v>-76.5642</c:v>
                </c:pt>
                <c:pt idx="614">
                  <c:v>-76.494299999999996</c:v>
                </c:pt>
                <c:pt idx="615">
                  <c:v>-76.494299999999996</c:v>
                </c:pt>
                <c:pt idx="616">
                  <c:v>-76.494299999999996</c:v>
                </c:pt>
                <c:pt idx="617">
                  <c:v>-76.494299999999996</c:v>
                </c:pt>
                <c:pt idx="618">
                  <c:v>-76.494299999999996</c:v>
                </c:pt>
                <c:pt idx="619">
                  <c:v>-76.494299999999996</c:v>
                </c:pt>
                <c:pt idx="620">
                  <c:v>-76.494299999999996</c:v>
                </c:pt>
                <c:pt idx="621">
                  <c:v>-76.515299999999996</c:v>
                </c:pt>
                <c:pt idx="622">
                  <c:v>-76.515299999999996</c:v>
                </c:pt>
                <c:pt idx="623">
                  <c:v>-76.515299999999996</c:v>
                </c:pt>
                <c:pt idx="624">
                  <c:v>-76.515299999999996</c:v>
                </c:pt>
                <c:pt idx="625">
                  <c:v>-76.515299999999996</c:v>
                </c:pt>
                <c:pt idx="626">
                  <c:v>-76.515299999999996</c:v>
                </c:pt>
                <c:pt idx="627">
                  <c:v>-76.492699999999999</c:v>
                </c:pt>
                <c:pt idx="628">
                  <c:v>-76.492699999999999</c:v>
                </c:pt>
                <c:pt idx="629">
                  <c:v>-76.492699999999999</c:v>
                </c:pt>
                <c:pt idx="630">
                  <c:v>-76.498900000000006</c:v>
                </c:pt>
                <c:pt idx="631">
                  <c:v>-76.498900000000006</c:v>
                </c:pt>
                <c:pt idx="632">
                  <c:v>-76.498900000000006</c:v>
                </c:pt>
                <c:pt idx="633">
                  <c:v>-76.494</c:v>
                </c:pt>
                <c:pt idx="634">
                  <c:v>-76.494</c:v>
                </c:pt>
                <c:pt idx="635">
                  <c:v>-76.494</c:v>
                </c:pt>
                <c:pt idx="636">
                  <c:v>-76.494</c:v>
                </c:pt>
                <c:pt idx="637">
                  <c:v>-76.499200000000002</c:v>
                </c:pt>
                <c:pt idx="638">
                  <c:v>-76.499200000000002</c:v>
                </c:pt>
                <c:pt idx="639">
                  <c:v>-76.499200000000002</c:v>
                </c:pt>
                <c:pt idx="640">
                  <c:v>-76.498800000000003</c:v>
                </c:pt>
                <c:pt idx="641">
                  <c:v>-76.498800000000003</c:v>
                </c:pt>
                <c:pt idx="642">
                  <c:v>-76.498800000000003</c:v>
                </c:pt>
                <c:pt idx="643">
                  <c:v>-76.505700000000004</c:v>
                </c:pt>
                <c:pt idx="644">
                  <c:v>-76.505700000000004</c:v>
                </c:pt>
                <c:pt idx="645">
                  <c:v>-76.505700000000004</c:v>
                </c:pt>
                <c:pt idx="646">
                  <c:v>-76.505700000000004</c:v>
                </c:pt>
                <c:pt idx="647">
                  <c:v>-76.505700000000004</c:v>
                </c:pt>
                <c:pt idx="648">
                  <c:v>-76.505700000000004</c:v>
                </c:pt>
                <c:pt idx="649">
                  <c:v>-76.563000000000002</c:v>
                </c:pt>
                <c:pt idx="650">
                  <c:v>-76.499499999999998</c:v>
                </c:pt>
                <c:pt idx="651">
                  <c:v>-76.499499999999998</c:v>
                </c:pt>
                <c:pt idx="652">
                  <c:v>-76.499499999999998</c:v>
                </c:pt>
                <c:pt idx="653">
                  <c:v>-76.499499999999998</c:v>
                </c:pt>
                <c:pt idx="654">
                  <c:v>-76.499499999999998</c:v>
                </c:pt>
                <c:pt idx="655">
                  <c:v>-76.499499999999998</c:v>
                </c:pt>
                <c:pt idx="656">
                  <c:v>-76.530500000000004</c:v>
                </c:pt>
                <c:pt idx="657">
                  <c:v>-76.530500000000004</c:v>
                </c:pt>
                <c:pt idx="658">
                  <c:v>-76.530500000000004</c:v>
                </c:pt>
                <c:pt idx="659">
                  <c:v>-76.530500000000004</c:v>
                </c:pt>
                <c:pt idx="660">
                  <c:v>-76.530500000000004</c:v>
                </c:pt>
                <c:pt idx="661">
                  <c:v>-76.530500000000004</c:v>
                </c:pt>
                <c:pt idx="662">
                  <c:v>-76.497699999999995</c:v>
                </c:pt>
                <c:pt idx="663">
                  <c:v>-76.497699999999995</c:v>
                </c:pt>
                <c:pt idx="664">
                  <c:v>-76.497699999999995</c:v>
                </c:pt>
                <c:pt idx="665">
                  <c:v>-76.497699999999995</c:v>
                </c:pt>
                <c:pt idx="666">
                  <c:v>-76.497699999999995</c:v>
                </c:pt>
                <c:pt idx="667">
                  <c:v>-76.497699999999995</c:v>
                </c:pt>
                <c:pt idx="668">
                  <c:v>-76.501199999999997</c:v>
                </c:pt>
                <c:pt idx="669">
                  <c:v>-76.476200000000006</c:v>
                </c:pt>
                <c:pt idx="670">
                  <c:v>-73.972399999999993</c:v>
                </c:pt>
                <c:pt idx="671">
                  <c:v>-73.972399999999993</c:v>
                </c:pt>
                <c:pt idx="672">
                  <c:v>-73.972399999999993</c:v>
                </c:pt>
                <c:pt idx="673">
                  <c:v>-73.962900000000005</c:v>
                </c:pt>
                <c:pt idx="674">
                  <c:v>-73.962900000000005</c:v>
                </c:pt>
                <c:pt idx="675">
                  <c:v>-73.962900000000005</c:v>
                </c:pt>
                <c:pt idx="676">
                  <c:v>-76.413399999999996</c:v>
                </c:pt>
                <c:pt idx="677">
                  <c:v>-76.413399999999996</c:v>
                </c:pt>
                <c:pt idx="678">
                  <c:v>-76.413399999999996</c:v>
                </c:pt>
                <c:pt idx="679">
                  <c:v>-76.413399999999996</c:v>
                </c:pt>
                <c:pt idx="680">
                  <c:v>-76.413399999999996</c:v>
                </c:pt>
                <c:pt idx="681">
                  <c:v>-76.413399999999996</c:v>
                </c:pt>
                <c:pt idx="682">
                  <c:v>-76.4649</c:v>
                </c:pt>
                <c:pt idx="683">
                  <c:v>-76.4649</c:v>
                </c:pt>
                <c:pt idx="684">
                  <c:v>-76.4649</c:v>
                </c:pt>
                <c:pt idx="685">
                  <c:v>-76.4649</c:v>
                </c:pt>
                <c:pt idx="686">
                  <c:v>-76.4649</c:v>
                </c:pt>
                <c:pt idx="687">
                  <c:v>-76.4649</c:v>
                </c:pt>
                <c:pt idx="688">
                  <c:v>-28.31</c:v>
                </c:pt>
                <c:pt idx="689">
                  <c:v>-26.52</c:v>
                </c:pt>
                <c:pt idx="690">
                  <c:v>-24.73</c:v>
                </c:pt>
                <c:pt idx="691">
                  <c:v>-20.76</c:v>
                </c:pt>
                <c:pt idx="692">
                  <c:v>-17.399999999999999</c:v>
                </c:pt>
                <c:pt idx="693">
                  <c:v>-13.57</c:v>
                </c:pt>
                <c:pt idx="694">
                  <c:v>-11.42</c:v>
                </c:pt>
                <c:pt idx="695">
                  <c:v>-10.35</c:v>
                </c:pt>
                <c:pt idx="696">
                  <c:v>-8.2200000000000006</c:v>
                </c:pt>
                <c:pt idx="697">
                  <c:v>-6.6</c:v>
                </c:pt>
                <c:pt idx="698">
                  <c:v>-4.53</c:v>
                </c:pt>
                <c:pt idx="699">
                  <c:v>-3.13</c:v>
                </c:pt>
                <c:pt idx="700">
                  <c:v>-2.2000000000000002</c:v>
                </c:pt>
                <c:pt idx="701">
                  <c:v>0.55000000000000004</c:v>
                </c:pt>
                <c:pt idx="702">
                  <c:v>1.45</c:v>
                </c:pt>
                <c:pt idx="703">
                  <c:v>3</c:v>
                </c:pt>
                <c:pt idx="704">
                  <c:v>4.6500000000000004</c:v>
                </c:pt>
                <c:pt idx="705">
                  <c:v>6.5</c:v>
                </c:pt>
                <c:pt idx="706">
                  <c:v>7.98</c:v>
                </c:pt>
                <c:pt idx="707">
                  <c:v>9.4600000000000009</c:v>
                </c:pt>
                <c:pt idx="708">
                  <c:v>10.77</c:v>
                </c:pt>
                <c:pt idx="709">
                  <c:v>12.66</c:v>
                </c:pt>
                <c:pt idx="710">
                  <c:v>14.55</c:v>
                </c:pt>
                <c:pt idx="711">
                  <c:v>17</c:v>
                </c:pt>
                <c:pt idx="713">
                  <c:v>-31.301369863013601</c:v>
                </c:pt>
                <c:pt idx="714">
                  <c:v>-31.301369863013601</c:v>
                </c:pt>
                <c:pt idx="715">
                  <c:v>-31.301369863013601</c:v>
                </c:pt>
                <c:pt idx="716">
                  <c:v>-31.301369863013601</c:v>
                </c:pt>
                <c:pt idx="717">
                  <c:v>-31.301369863013601</c:v>
                </c:pt>
                <c:pt idx="718">
                  <c:v>-36.835616438356098</c:v>
                </c:pt>
                <c:pt idx="719">
                  <c:v>-36.835616438356098</c:v>
                </c:pt>
                <c:pt idx="720">
                  <c:v>-36.835616438356098</c:v>
                </c:pt>
                <c:pt idx="721">
                  <c:v>-36.835616438356098</c:v>
                </c:pt>
                <c:pt idx="722">
                  <c:v>-36.835616438356098</c:v>
                </c:pt>
                <c:pt idx="723">
                  <c:v>-36.835616438356098</c:v>
                </c:pt>
                <c:pt idx="724">
                  <c:v>-39.767123287671197</c:v>
                </c:pt>
                <c:pt idx="725">
                  <c:v>-39.767123287671197</c:v>
                </c:pt>
                <c:pt idx="726">
                  <c:v>-39.767123287671197</c:v>
                </c:pt>
                <c:pt idx="727">
                  <c:v>-39.767123287671197</c:v>
                </c:pt>
                <c:pt idx="728">
                  <c:v>-39.767123287671197</c:v>
                </c:pt>
                <c:pt idx="729">
                  <c:v>-39.767123287671197</c:v>
                </c:pt>
                <c:pt idx="730">
                  <c:v>-42.863013698630098</c:v>
                </c:pt>
                <c:pt idx="731">
                  <c:v>-42.863013698630098</c:v>
                </c:pt>
                <c:pt idx="732">
                  <c:v>-42.863013698630098</c:v>
                </c:pt>
                <c:pt idx="733">
                  <c:v>-42.863013698630098</c:v>
                </c:pt>
                <c:pt idx="734">
                  <c:v>-42.863013698630098</c:v>
                </c:pt>
                <c:pt idx="735">
                  <c:v>-42.863013698630098</c:v>
                </c:pt>
                <c:pt idx="736">
                  <c:v>-45.328767123287598</c:v>
                </c:pt>
                <c:pt idx="737">
                  <c:v>-45.328767123287598</c:v>
                </c:pt>
                <c:pt idx="738">
                  <c:v>-45.328767123287598</c:v>
                </c:pt>
                <c:pt idx="739">
                  <c:v>-45.328767123287598</c:v>
                </c:pt>
                <c:pt idx="740">
                  <c:v>-45.328767123287598</c:v>
                </c:pt>
                <c:pt idx="741">
                  <c:v>-45.328767123287598</c:v>
                </c:pt>
                <c:pt idx="742">
                  <c:v>-46.616438356164302</c:v>
                </c:pt>
                <c:pt idx="743">
                  <c:v>-46.616438356164302</c:v>
                </c:pt>
                <c:pt idx="744">
                  <c:v>-46.616438356164302</c:v>
                </c:pt>
                <c:pt idx="745">
                  <c:v>-46.616438356164302</c:v>
                </c:pt>
                <c:pt idx="746">
                  <c:v>-46.616438356164302</c:v>
                </c:pt>
                <c:pt idx="747">
                  <c:v>-46.616438356164302</c:v>
                </c:pt>
                <c:pt idx="748">
                  <c:v>32.880000000000003</c:v>
                </c:pt>
                <c:pt idx="749">
                  <c:v>32.880000000000003</c:v>
                </c:pt>
                <c:pt idx="750">
                  <c:v>32.880000000000003</c:v>
                </c:pt>
                <c:pt idx="751">
                  <c:v>32.880000000000003</c:v>
                </c:pt>
                <c:pt idx="752">
                  <c:v>32.880000000000003</c:v>
                </c:pt>
                <c:pt idx="753">
                  <c:v>32.880000000000003</c:v>
                </c:pt>
                <c:pt idx="754">
                  <c:v>32.700000000000003</c:v>
                </c:pt>
                <c:pt idx="755">
                  <c:v>32.700000000000003</c:v>
                </c:pt>
                <c:pt idx="756">
                  <c:v>32.700000000000003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32.880000000000003</c:v>
                </c:pt>
                <c:pt idx="761">
                  <c:v>32.880000000000003</c:v>
                </c:pt>
                <c:pt idx="762">
                  <c:v>32.880000000000003</c:v>
                </c:pt>
                <c:pt idx="763">
                  <c:v>32.880000000000003</c:v>
                </c:pt>
                <c:pt idx="764">
                  <c:v>32.880000000000003</c:v>
                </c:pt>
                <c:pt idx="765">
                  <c:v>32.880000000000003</c:v>
                </c:pt>
                <c:pt idx="766">
                  <c:v>32.880000000000003</c:v>
                </c:pt>
                <c:pt idx="767">
                  <c:v>32.880000000000003</c:v>
                </c:pt>
                <c:pt idx="768">
                  <c:v>32.880000000000003</c:v>
                </c:pt>
                <c:pt idx="769">
                  <c:v>32.880000000000003</c:v>
                </c:pt>
                <c:pt idx="770">
                  <c:v>32.880000000000003</c:v>
                </c:pt>
                <c:pt idx="771">
                  <c:v>32.880000000000003</c:v>
                </c:pt>
                <c:pt idx="772">
                  <c:v>32.880000000000003</c:v>
                </c:pt>
                <c:pt idx="773">
                  <c:v>32.880000000000003</c:v>
                </c:pt>
                <c:pt idx="774">
                  <c:v>32.880000000000003</c:v>
                </c:pt>
                <c:pt idx="775">
                  <c:v>32.880000000000003</c:v>
                </c:pt>
                <c:pt idx="776">
                  <c:v>32.549999999999997</c:v>
                </c:pt>
                <c:pt idx="777">
                  <c:v>32.6</c:v>
                </c:pt>
                <c:pt idx="778">
                  <c:v>33.75</c:v>
                </c:pt>
                <c:pt idx="779">
                  <c:v>33.75</c:v>
                </c:pt>
                <c:pt idx="780">
                  <c:v>33.75</c:v>
                </c:pt>
                <c:pt idx="781">
                  <c:v>33.75</c:v>
                </c:pt>
                <c:pt idx="782">
                  <c:v>33.75</c:v>
                </c:pt>
                <c:pt idx="783">
                  <c:v>33.75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D-4342-996A-1463615BF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295903"/>
        <c:axId val="1485180095"/>
      </c:scatterChart>
      <c:valAx>
        <c:axId val="148529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5180095"/>
        <c:crosses val="autoZero"/>
        <c:crossBetween val="midCat"/>
      </c:valAx>
      <c:valAx>
        <c:axId val="148518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529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2116667</xdr:colOff>
      <xdr:row>20</xdr:row>
      <xdr:rowOff>211667</xdr:rowOff>
    </xdr:from>
    <xdr:to>
      <xdr:col>9</xdr:col>
      <xdr:colOff>33867</xdr:colOff>
      <xdr:row>31</xdr:row>
      <xdr:rowOff>160867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84B70EA-CAB9-DF53-950E-C8803F14C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4EE5-5220-B34E-9F1A-7DA4FB83F534}">
  <dimension ref="A1:F264"/>
  <sheetViews>
    <sheetView topLeftCell="A30" workbookViewId="0">
      <selection activeCell="C1" sqref="C1"/>
    </sheetView>
  </sheetViews>
  <sheetFormatPr baseColWidth="10" defaultRowHeight="20"/>
  <sheetData>
    <row r="1" spans="1:6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>
      <c r="A2" s="1">
        <v>41892</v>
      </c>
      <c r="B2">
        <v>33.549999999999997</v>
      </c>
      <c r="C2">
        <v>-118.4</v>
      </c>
      <c r="D2">
        <v>150</v>
      </c>
      <c r="E2">
        <v>5.6099999999999994</v>
      </c>
      <c r="F2">
        <v>18.010666666666665</v>
      </c>
    </row>
    <row r="3" spans="1:6">
      <c r="A3" s="1">
        <v>41892</v>
      </c>
      <c r="B3">
        <v>33.549999999999997</v>
      </c>
      <c r="C3">
        <v>-118.4</v>
      </c>
      <c r="D3">
        <v>56</v>
      </c>
      <c r="E3">
        <v>5.453333333333334</v>
      </c>
      <c r="F3">
        <v>0.55966666666666665</v>
      </c>
    </row>
    <row r="4" spans="1:6">
      <c r="A4" s="1">
        <v>41913</v>
      </c>
      <c r="B4">
        <v>33.549999999999997</v>
      </c>
      <c r="C4">
        <v>-118.4</v>
      </c>
      <c r="D4">
        <v>100</v>
      </c>
      <c r="E4">
        <v>11.562666666666667</v>
      </c>
      <c r="F4">
        <v>1.0333333333333332</v>
      </c>
    </row>
    <row r="5" spans="1:6">
      <c r="A5" s="1">
        <v>41913</v>
      </c>
      <c r="B5">
        <v>33.549999999999997</v>
      </c>
      <c r="C5">
        <v>-118.4</v>
      </c>
      <c r="D5">
        <v>62</v>
      </c>
      <c r="E5">
        <v>1.6059999999999999</v>
      </c>
      <c r="F5" t="e">
        <v>#DIV/0!</v>
      </c>
    </row>
    <row r="6" spans="1:6">
      <c r="A6" s="1">
        <v>41955</v>
      </c>
      <c r="B6">
        <v>33.549999999999997</v>
      </c>
      <c r="C6">
        <v>-118.4</v>
      </c>
      <c r="D6">
        <v>100</v>
      </c>
      <c r="E6">
        <v>8.8876666666666662</v>
      </c>
      <c r="F6">
        <v>8.2636666666666674</v>
      </c>
    </row>
    <row r="7" spans="1:6">
      <c r="A7" s="1">
        <v>41955</v>
      </c>
      <c r="B7">
        <v>33.549999999999997</v>
      </c>
      <c r="C7">
        <v>-118.4</v>
      </c>
      <c r="D7">
        <v>56.1</v>
      </c>
      <c r="E7">
        <v>8.9039999999999999</v>
      </c>
      <c r="F7">
        <v>2.1623333333333332</v>
      </c>
    </row>
    <row r="8" spans="1:6">
      <c r="A8" s="1">
        <v>41981</v>
      </c>
      <c r="B8">
        <v>33.549999999999997</v>
      </c>
      <c r="C8">
        <v>-118.4</v>
      </c>
      <c r="D8">
        <v>100</v>
      </c>
      <c r="E8">
        <v>7.1529999999999996</v>
      </c>
      <c r="F8">
        <v>5.7850000000000001</v>
      </c>
    </row>
    <row r="9" spans="1:6">
      <c r="A9" s="1">
        <v>41981</v>
      </c>
      <c r="B9">
        <v>33.549999999999997</v>
      </c>
      <c r="C9">
        <v>-118.4</v>
      </c>
      <c r="D9">
        <v>52.5</v>
      </c>
      <c r="E9">
        <v>12.530666666666667</v>
      </c>
      <c r="F9">
        <v>4.0209999999999999</v>
      </c>
    </row>
    <row r="10" spans="1:6">
      <c r="A10" s="1">
        <v>42019</v>
      </c>
      <c r="B10">
        <v>33.549999999999997</v>
      </c>
      <c r="C10">
        <v>-118.4</v>
      </c>
      <c r="D10">
        <v>100</v>
      </c>
      <c r="E10">
        <v>12.915333333333335</v>
      </c>
      <c r="F10">
        <v>7.4349999999999996</v>
      </c>
    </row>
    <row r="11" spans="1:6">
      <c r="A11" s="1">
        <v>42053</v>
      </c>
      <c r="B11">
        <v>33.549999999999997</v>
      </c>
      <c r="C11">
        <v>-118.4</v>
      </c>
      <c r="D11">
        <v>100</v>
      </c>
      <c r="E11">
        <v>2.8403333333333336</v>
      </c>
      <c r="F11">
        <v>8.4333333333333336</v>
      </c>
    </row>
    <row r="12" spans="1:6">
      <c r="A12" s="1">
        <v>42053</v>
      </c>
      <c r="B12">
        <v>33.549999999999997</v>
      </c>
      <c r="C12">
        <v>-118.4</v>
      </c>
      <c r="D12">
        <v>35.5</v>
      </c>
      <c r="E12">
        <v>26.974999999999998</v>
      </c>
      <c r="F12">
        <v>11.653666666666666</v>
      </c>
    </row>
    <row r="13" spans="1:6">
      <c r="A13" s="1">
        <v>42075</v>
      </c>
      <c r="B13">
        <v>33.549999999999997</v>
      </c>
      <c r="C13">
        <v>-118.4</v>
      </c>
      <c r="D13">
        <v>100</v>
      </c>
      <c r="E13">
        <v>1.3233333333333333</v>
      </c>
      <c r="F13">
        <v>3.5552666666666668</v>
      </c>
    </row>
    <row r="14" spans="1:6">
      <c r="A14" s="1">
        <v>42075</v>
      </c>
      <c r="B14">
        <v>33.549999999999997</v>
      </c>
      <c r="C14">
        <v>-118.4</v>
      </c>
      <c r="D14">
        <v>50.6</v>
      </c>
      <c r="E14">
        <v>1.9166666666666667</v>
      </c>
      <c r="F14">
        <v>1.4655333333333334</v>
      </c>
    </row>
    <row r="15" spans="1:6">
      <c r="A15" s="1">
        <v>42116</v>
      </c>
      <c r="B15">
        <v>33.549999999999997</v>
      </c>
      <c r="C15">
        <v>-118.4</v>
      </c>
      <c r="D15">
        <v>100</v>
      </c>
      <c r="E15">
        <v>8.7866666666666671</v>
      </c>
      <c r="F15">
        <v>10.454000000000001</v>
      </c>
    </row>
    <row r="16" spans="1:6">
      <c r="A16" s="1">
        <v>42144</v>
      </c>
      <c r="B16">
        <v>33.549999999999997</v>
      </c>
      <c r="C16">
        <v>-118.4</v>
      </c>
      <c r="D16">
        <v>100</v>
      </c>
      <c r="E16">
        <v>2.0556666666666668</v>
      </c>
      <c r="F16">
        <v>25.33</v>
      </c>
    </row>
    <row r="17" spans="1:6">
      <c r="A17" s="1">
        <v>42144</v>
      </c>
      <c r="B17">
        <v>33.549999999999997</v>
      </c>
      <c r="C17">
        <v>-118.4</v>
      </c>
      <c r="D17">
        <v>45</v>
      </c>
      <c r="E17">
        <v>3.4943333333333335</v>
      </c>
      <c r="F17">
        <v>1.5326666666666666</v>
      </c>
    </row>
    <row r="18" spans="1:6">
      <c r="A18" s="1">
        <v>42172</v>
      </c>
      <c r="B18">
        <v>33.549999999999997</v>
      </c>
      <c r="C18">
        <v>-118.4</v>
      </c>
      <c r="D18">
        <v>100</v>
      </c>
      <c r="E18">
        <v>10.151999999999999</v>
      </c>
      <c r="F18">
        <v>8.6319999999999997</v>
      </c>
    </row>
    <row r="19" spans="1:6">
      <c r="A19" s="1">
        <v>42172</v>
      </c>
      <c r="B19">
        <v>33.549999999999997</v>
      </c>
      <c r="C19">
        <v>-118.4</v>
      </c>
      <c r="D19">
        <v>35</v>
      </c>
      <c r="E19">
        <v>1.6316666666666666</v>
      </c>
      <c r="F19">
        <v>5.8999999999999997E-2</v>
      </c>
    </row>
    <row r="20" spans="1:6">
      <c r="A20" s="1">
        <v>42199</v>
      </c>
      <c r="B20">
        <v>33.549999999999997</v>
      </c>
      <c r="C20">
        <v>-118.4</v>
      </c>
      <c r="D20">
        <v>100</v>
      </c>
      <c r="E20">
        <v>3.2803333333333331</v>
      </c>
      <c r="F20">
        <v>9.7706666666666671</v>
      </c>
    </row>
    <row r="21" spans="1:6">
      <c r="A21" s="1">
        <v>42199</v>
      </c>
      <c r="B21">
        <v>33.549999999999997</v>
      </c>
      <c r="C21">
        <v>-118.4</v>
      </c>
      <c r="D21">
        <v>47</v>
      </c>
      <c r="E21">
        <v>0.75266666666666671</v>
      </c>
      <c r="F21">
        <v>4.7999999999999994E-2</v>
      </c>
    </row>
    <row r="22" spans="1:6">
      <c r="A22" s="1">
        <v>42221</v>
      </c>
      <c r="B22">
        <v>33.549999999999997</v>
      </c>
      <c r="C22">
        <v>-118.4</v>
      </c>
      <c r="D22">
        <v>100</v>
      </c>
      <c r="E22">
        <v>1.1820000000000002</v>
      </c>
      <c r="F22">
        <v>3.609</v>
      </c>
    </row>
    <row r="23" spans="1:6">
      <c r="A23" s="1">
        <v>42221</v>
      </c>
      <c r="B23">
        <v>33.549999999999997</v>
      </c>
      <c r="C23">
        <v>-118.4</v>
      </c>
      <c r="D23">
        <v>52.4</v>
      </c>
      <c r="E23">
        <v>0.60166666666666668</v>
      </c>
      <c r="F23">
        <v>0.15066666666666667</v>
      </c>
    </row>
    <row r="24" spans="1:6">
      <c r="A24" s="1">
        <v>42256</v>
      </c>
      <c r="B24">
        <v>33.549999999999997</v>
      </c>
      <c r="C24">
        <v>-118.4</v>
      </c>
      <c r="D24">
        <v>150</v>
      </c>
      <c r="E24">
        <v>1.5553333333333335</v>
      </c>
      <c r="F24">
        <v>2.7065000000000001</v>
      </c>
    </row>
    <row r="25" spans="1:6">
      <c r="A25" s="1">
        <v>42256</v>
      </c>
      <c r="B25">
        <v>33.549999999999997</v>
      </c>
      <c r="C25">
        <v>-118.4</v>
      </c>
      <c r="D25">
        <v>100</v>
      </c>
      <c r="E25">
        <v>9.9346666666666668</v>
      </c>
      <c r="F25">
        <v>4.1413333333333329</v>
      </c>
    </row>
    <row r="26" spans="1:6">
      <c r="A26" s="1">
        <v>42256</v>
      </c>
      <c r="B26">
        <v>33.549999999999997</v>
      </c>
      <c r="C26">
        <v>-118.4</v>
      </c>
      <c r="D26">
        <v>75.400000000000006</v>
      </c>
      <c r="E26">
        <v>28.311333333333334</v>
      </c>
      <c r="F26">
        <v>9.2683333333333326</v>
      </c>
    </row>
    <row r="27" spans="1:6">
      <c r="A27" s="1">
        <v>42256</v>
      </c>
      <c r="B27">
        <v>33.549999999999997</v>
      </c>
      <c r="C27">
        <v>-118.4</v>
      </c>
      <c r="D27">
        <v>44.8</v>
      </c>
      <c r="E27">
        <v>9.7333333333333341E-2</v>
      </c>
      <c r="F27">
        <v>1.95E-2</v>
      </c>
    </row>
    <row r="28" spans="1:6">
      <c r="A28" s="1">
        <v>42297</v>
      </c>
      <c r="B28">
        <v>33.549999999999997</v>
      </c>
      <c r="C28">
        <v>-118.4</v>
      </c>
      <c r="D28">
        <v>150</v>
      </c>
      <c r="E28">
        <v>5.8649999999999993</v>
      </c>
      <c r="F28">
        <v>14.582666666666668</v>
      </c>
    </row>
    <row r="29" spans="1:6">
      <c r="A29" s="1">
        <v>42297</v>
      </c>
      <c r="B29">
        <v>33.549999999999997</v>
      </c>
      <c r="C29">
        <v>-118.4</v>
      </c>
      <c r="D29">
        <v>100</v>
      </c>
      <c r="E29">
        <v>5.6786666666666674</v>
      </c>
      <c r="F29">
        <v>9.1013333333333346</v>
      </c>
    </row>
    <row r="30" spans="1:6">
      <c r="A30" s="1">
        <v>42297</v>
      </c>
      <c r="B30">
        <v>33.549999999999997</v>
      </c>
      <c r="C30">
        <v>-118.4</v>
      </c>
      <c r="D30">
        <v>92.3</v>
      </c>
      <c r="E30">
        <v>8.011333333333333</v>
      </c>
      <c r="F30">
        <v>4.5156666666666663</v>
      </c>
    </row>
    <row r="31" spans="1:6">
      <c r="A31" s="1">
        <v>42385</v>
      </c>
      <c r="B31">
        <v>33.549999999999997</v>
      </c>
      <c r="C31">
        <v>-118.4</v>
      </c>
      <c r="D31">
        <v>150</v>
      </c>
      <c r="E31">
        <v>2.0880000000000001</v>
      </c>
      <c r="F31">
        <v>0.6123333333333334</v>
      </c>
    </row>
    <row r="32" spans="1:6">
      <c r="A32" s="1">
        <v>42385</v>
      </c>
      <c r="B32">
        <v>33.549999999999997</v>
      </c>
      <c r="C32">
        <v>-118.4</v>
      </c>
      <c r="D32">
        <v>100</v>
      </c>
      <c r="E32">
        <v>21.858666666666664</v>
      </c>
      <c r="F32">
        <v>14.464333333333334</v>
      </c>
    </row>
    <row r="33" spans="1:6">
      <c r="A33" s="1">
        <v>42385</v>
      </c>
      <c r="B33">
        <v>33.549999999999997</v>
      </c>
      <c r="C33">
        <v>-118.4</v>
      </c>
      <c r="D33">
        <v>31</v>
      </c>
      <c r="E33">
        <v>0.79200000000000015</v>
      </c>
      <c r="F33">
        <v>0.20166666666666666</v>
      </c>
    </row>
    <row r="34" spans="1:6">
      <c r="A34" s="1">
        <v>42410</v>
      </c>
      <c r="B34">
        <v>33.549999999999997</v>
      </c>
      <c r="C34">
        <v>-118.4</v>
      </c>
      <c r="D34">
        <v>150</v>
      </c>
      <c r="E34">
        <v>0.46799999999999997</v>
      </c>
      <c r="F34">
        <v>0.36766666666666664</v>
      </c>
    </row>
    <row r="35" spans="1:6">
      <c r="A35" s="1">
        <v>42410</v>
      </c>
      <c r="B35">
        <v>33.549999999999997</v>
      </c>
      <c r="C35">
        <v>-118.4</v>
      </c>
      <c r="D35">
        <v>100</v>
      </c>
      <c r="E35">
        <v>2.859</v>
      </c>
      <c r="F35">
        <v>1.6786666666666668</v>
      </c>
    </row>
    <row r="36" spans="1:6">
      <c r="A36" s="1">
        <v>42410</v>
      </c>
      <c r="B36">
        <v>33.549999999999997</v>
      </c>
      <c r="C36">
        <v>-118.4</v>
      </c>
      <c r="D36">
        <v>48</v>
      </c>
      <c r="E36">
        <v>13.664</v>
      </c>
      <c r="F36">
        <v>0.87000000000000011</v>
      </c>
    </row>
    <row r="37" spans="1:6">
      <c r="A37" s="1">
        <v>42445</v>
      </c>
      <c r="B37">
        <v>33.549999999999997</v>
      </c>
      <c r="C37">
        <v>-118.4</v>
      </c>
      <c r="D37">
        <v>150</v>
      </c>
      <c r="E37">
        <v>0.26333333333333336</v>
      </c>
      <c r="F37">
        <v>0.23100000000000001</v>
      </c>
    </row>
    <row r="38" spans="1:6">
      <c r="A38" s="1">
        <v>42445</v>
      </c>
      <c r="B38">
        <v>33.549999999999997</v>
      </c>
      <c r="C38">
        <v>-118.4</v>
      </c>
      <c r="D38">
        <v>100</v>
      </c>
      <c r="E38">
        <v>3.2623333333333338</v>
      </c>
      <c r="F38">
        <v>2.0920000000000001</v>
      </c>
    </row>
    <row r="39" spans="1:6">
      <c r="A39" s="1">
        <v>42445</v>
      </c>
      <c r="B39">
        <v>33.549999999999997</v>
      </c>
      <c r="C39">
        <v>-118.4</v>
      </c>
      <c r="D39">
        <v>75</v>
      </c>
      <c r="E39">
        <v>12.267666666666665</v>
      </c>
      <c r="F39">
        <v>9.3233333333333324</v>
      </c>
    </row>
    <row r="40" spans="1:6">
      <c r="A40" s="1">
        <v>42445</v>
      </c>
      <c r="B40">
        <v>33.549999999999997</v>
      </c>
      <c r="C40">
        <v>-118.4</v>
      </c>
      <c r="D40">
        <v>34</v>
      </c>
      <c r="E40">
        <v>22.374333333333329</v>
      </c>
      <c r="F40">
        <v>2.2586666666666666</v>
      </c>
    </row>
    <row r="41" spans="1:6">
      <c r="A41" s="1">
        <v>42473</v>
      </c>
      <c r="B41">
        <v>33.549999999999997</v>
      </c>
      <c r="C41">
        <v>-118.4</v>
      </c>
      <c r="D41">
        <v>150</v>
      </c>
      <c r="E41">
        <v>0.76766666666666661</v>
      </c>
      <c r="F41">
        <v>0.32233333333333331</v>
      </c>
    </row>
    <row r="42" spans="1:6">
      <c r="A42" s="1">
        <v>42473</v>
      </c>
      <c r="B42">
        <v>33.549999999999997</v>
      </c>
      <c r="C42">
        <v>-118.4</v>
      </c>
      <c r="D42">
        <v>100</v>
      </c>
      <c r="E42">
        <v>8.0676666666666677</v>
      </c>
      <c r="F42">
        <v>3.590666666666666</v>
      </c>
    </row>
    <row r="43" spans="1:6">
      <c r="A43" s="1">
        <v>42473</v>
      </c>
      <c r="B43">
        <v>33.549999999999997</v>
      </c>
      <c r="C43">
        <v>-118.4</v>
      </c>
      <c r="D43">
        <v>75</v>
      </c>
      <c r="E43">
        <v>8.8013333333333339</v>
      </c>
      <c r="F43">
        <v>5.4393333333333329</v>
      </c>
    </row>
    <row r="44" spans="1:6">
      <c r="A44" s="1">
        <v>42473</v>
      </c>
      <c r="B44">
        <v>33.549999999999997</v>
      </c>
      <c r="C44">
        <v>-118.4</v>
      </c>
      <c r="D44">
        <v>41</v>
      </c>
      <c r="E44">
        <v>7.7153333333333336</v>
      </c>
      <c r="F44">
        <v>1.8490000000000002</v>
      </c>
    </row>
    <row r="45" spans="1:6">
      <c r="A45" s="1">
        <v>42508</v>
      </c>
      <c r="B45">
        <v>33.549999999999997</v>
      </c>
      <c r="C45">
        <v>-118.4</v>
      </c>
      <c r="D45">
        <v>150</v>
      </c>
      <c r="E45">
        <v>1.3606666666666669</v>
      </c>
      <c r="F45">
        <v>0.52533333333333332</v>
      </c>
    </row>
    <row r="46" spans="1:6">
      <c r="A46" s="1">
        <v>42508</v>
      </c>
      <c r="B46">
        <v>33.549999999999997</v>
      </c>
      <c r="C46">
        <v>-118.4</v>
      </c>
      <c r="D46">
        <v>100</v>
      </c>
      <c r="E46">
        <v>7.9073333333333338</v>
      </c>
      <c r="F46">
        <v>3.7113333333333336</v>
      </c>
    </row>
    <row r="47" spans="1:6">
      <c r="A47" s="1">
        <v>42508</v>
      </c>
      <c r="B47">
        <v>33.549999999999997</v>
      </c>
      <c r="C47">
        <v>-118.4</v>
      </c>
      <c r="D47">
        <v>75</v>
      </c>
      <c r="E47">
        <v>17.299666666666667</v>
      </c>
      <c r="F47">
        <v>9.4659999999999993</v>
      </c>
    </row>
    <row r="48" spans="1:6">
      <c r="A48" s="1">
        <v>42508</v>
      </c>
      <c r="B48">
        <v>33.549999999999997</v>
      </c>
      <c r="C48">
        <v>-118.4</v>
      </c>
      <c r="D48">
        <v>49</v>
      </c>
      <c r="E48">
        <v>12.451333333333332</v>
      </c>
      <c r="F48">
        <v>1.7093333333333334</v>
      </c>
    </row>
    <row r="49" spans="1:6">
      <c r="A49" s="1">
        <v>42536</v>
      </c>
      <c r="B49">
        <v>33.549999999999997</v>
      </c>
      <c r="C49">
        <v>-118.4</v>
      </c>
      <c r="D49">
        <v>150</v>
      </c>
      <c r="E49">
        <v>0.16133333333333333</v>
      </c>
      <c r="F49">
        <v>0.127</v>
      </c>
    </row>
    <row r="50" spans="1:6">
      <c r="A50" s="1">
        <v>42536</v>
      </c>
      <c r="B50">
        <v>33.549999999999997</v>
      </c>
      <c r="C50">
        <v>-118.4</v>
      </c>
      <c r="D50">
        <v>100</v>
      </c>
      <c r="E50">
        <v>3.5630000000000002</v>
      </c>
      <c r="F50">
        <v>2.7250000000000001</v>
      </c>
    </row>
    <row r="51" spans="1:6">
      <c r="A51" s="1">
        <v>42536</v>
      </c>
      <c r="B51">
        <v>33.549999999999997</v>
      </c>
      <c r="C51">
        <v>-118.4</v>
      </c>
      <c r="D51">
        <v>75</v>
      </c>
      <c r="E51">
        <v>7.7793333333333337</v>
      </c>
      <c r="F51">
        <v>5.7220000000000004</v>
      </c>
    </row>
    <row r="52" spans="1:6">
      <c r="A52" s="1">
        <v>42536</v>
      </c>
      <c r="B52">
        <v>33.549999999999997</v>
      </c>
      <c r="C52">
        <v>-118.4</v>
      </c>
      <c r="D52">
        <v>53</v>
      </c>
      <c r="E52">
        <v>8.4323333333333323</v>
      </c>
      <c r="F52">
        <v>2.8466666666666671</v>
      </c>
    </row>
    <row r="53" spans="1:6">
      <c r="A53" s="1">
        <v>42563</v>
      </c>
      <c r="B53">
        <v>33.549999999999997</v>
      </c>
      <c r="C53">
        <v>-118.4</v>
      </c>
      <c r="D53">
        <v>150</v>
      </c>
      <c r="E53">
        <v>2.8993333333333333</v>
      </c>
      <c r="F53">
        <v>0.66533333333333333</v>
      </c>
    </row>
    <row r="54" spans="1:6">
      <c r="A54" s="1">
        <v>42563</v>
      </c>
      <c r="B54">
        <v>33.549999999999997</v>
      </c>
      <c r="C54">
        <v>-118.4</v>
      </c>
      <c r="D54">
        <v>100</v>
      </c>
      <c r="E54">
        <v>32.725000000000001</v>
      </c>
      <c r="F54">
        <v>14.326666666666668</v>
      </c>
    </row>
    <row r="55" spans="1:6">
      <c r="A55" s="1">
        <v>42563</v>
      </c>
      <c r="B55">
        <v>33.549999999999997</v>
      </c>
      <c r="C55">
        <v>-118.4</v>
      </c>
      <c r="D55">
        <v>75</v>
      </c>
      <c r="E55">
        <v>35.884333333333331</v>
      </c>
      <c r="F55">
        <v>16.66</v>
      </c>
    </row>
    <row r="56" spans="1:6">
      <c r="A56" s="1">
        <v>42563</v>
      </c>
      <c r="B56">
        <v>33.549999999999997</v>
      </c>
      <c r="C56">
        <v>-118.4</v>
      </c>
      <c r="D56">
        <v>54</v>
      </c>
      <c r="E56">
        <v>3.1206666666666667</v>
      </c>
      <c r="F56">
        <v>0.43333333333333335</v>
      </c>
    </row>
    <row r="57" spans="1:6">
      <c r="A57" s="1">
        <v>42592</v>
      </c>
      <c r="B57">
        <v>33.549999999999997</v>
      </c>
      <c r="C57">
        <v>-118.4</v>
      </c>
      <c r="D57">
        <v>150</v>
      </c>
      <c r="E57">
        <v>7.9576666666666656</v>
      </c>
      <c r="F57">
        <v>2.8406666666666669</v>
      </c>
    </row>
    <row r="58" spans="1:6">
      <c r="A58" s="1">
        <v>42592</v>
      </c>
      <c r="B58">
        <v>33.549999999999997</v>
      </c>
      <c r="C58">
        <v>-118.4</v>
      </c>
      <c r="D58">
        <v>100</v>
      </c>
      <c r="E58">
        <v>24.257999999999999</v>
      </c>
      <c r="F58">
        <v>16.726333333333333</v>
      </c>
    </row>
    <row r="59" spans="1:6">
      <c r="A59" s="1">
        <v>42592</v>
      </c>
      <c r="B59">
        <v>33.549999999999997</v>
      </c>
      <c r="C59">
        <v>-118.4</v>
      </c>
      <c r="D59">
        <v>75</v>
      </c>
      <c r="E59">
        <v>14.818666666666667</v>
      </c>
      <c r="F59">
        <v>6.4906666666666668</v>
      </c>
    </row>
    <row r="60" spans="1:6">
      <c r="A60" s="1">
        <v>42592</v>
      </c>
      <c r="B60">
        <v>33.549999999999997</v>
      </c>
      <c r="C60">
        <v>-118.4</v>
      </c>
      <c r="D60">
        <v>68</v>
      </c>
      <c r="E60">
        <v>15.613333333333335</v>
      </c>
      <c r="F60">
        <v>3.1950000000000003</v>
      </c>
    </row>
    <row r="61" spans="1:6">
      <c r="A61" t="s">
        <v>10</v>
      </c>
      <c r="B61">
        <v>-64.031959999999998</v>
      </c>
      <c r="C61">
        <v>-64.031959999999998</v>
      </c>
      <c r="D61">
        <v>10</v>
      </c>
      <c r="E61">
        <v>-1</v>
      </c>
      <c r="F61">
        <v>1</v>
      </c>
    </row>
    <row r="62" spans="1:6">
      <c r="A62" t="s">
        <v>10</v>
      </c>
      <c r="B62">
        <v>-64.031959999999998</v>
      </c>
      <c r="C62">
        <v>-64.031959999999998</v>
      </c>
      <c r="D62">
        <v>10</v>
      </c>
      <c r="E62">
        <v>-1</v>
      </c>
      <c r="F62">
        <v>-1</v>
      </c>
    </row>
    <row r="63" spans="1:6">
      <c r="A63" t="s">
        <v>10</v>
      </c>
      <c r="B63">
        <v>-64.031959999999998</v>
      </c>
      <c r="C63">
        <v>-64.031959999999998</v>
      </c>
      <c r="D63">
        <v>35</v>
      </c>
      <c r="E63">
        <v>0</v>
      </c>
      <c r="F63">
        <v>1</v>
      </c>
    </row>
    <row r="64" spans="1:6">
      <c r="A64" t="s">
        <v>10</v>
      </c>
      <c r="B64">
        <v>-64.031959999999998</v>
      </c>
      <c r="C64">
        <v>-64.031959999999998</v>
      </c>
      <c r="D64">
        <v>35</v>
      </c>
      <c r="E64">
        <v>0</v>
      </c>
      <c r="F64">
        <v>0</v>
      </c>
    </row>
    <row r="65" spans="1:6">
      <c r="A65" t="s">
        <v>10</v>
      </c>
      <c r="B65">
        <v>-64.031959999999998</v>
      </c>
      <c r="C65">
        <v>-64.031959999999998</v>
      </c>
      <c r="D65">
        <v>350</v>
      </c>
      <c r="E65">
        <v>15</v>
      </c>
      <c r="F65">
        <v>14</v>
      </c>
    </row>
    <row r="66" spans="1:6">
      <c r="A66" t="s">
        <v>10</v>
      </c>
      <c r="B66">
        <v>-64.031959999999998</v>
      </c>
      <c r="C66">
        <v>-64.031959999999998</v>
      </c>
      <c r="D66">
        <v>350</v>
      </c>
      <c r="E66">
        <v>15</v>
      </c>
      <c r="F66">
        <v>14</v>
      </c>
    </row>
    <row r="67" spans="1:6">
      <c r="A67" t="s">
        <v>11</v>
      </c>
      <c r="B67">
        <v>-64.991669999999999</v>
      </c>
      <c r="C67">
        <v>-64.631770000000003</v>
      </c>
      <c r="D67">
        <v>10</v>
      </c>
      <c r="E67">
        <v>0</v>
      </c>
      <c r="F67">
        <v>0</v>
      </c>
    </row>
    <row r="68" spans="1:6">
      <c r="A68" t="s">
        <v>11</v>
      </c>
      <c r="B68">
        <v>-64.991669999999999</v>
      </c>
      <c r="C68">
        <v>-64.631770000000003</v>
      </c>
      <c r="D68">
        <v>10</v>
      </c>
      <c r="E68">
        <v>0</v>
      </c>
      <c r="F68">
        <v>0</v>
      </c>
    </row>
    <row r="69" spans="1:6">
      <c r="A69" t="s">
        <v>11</v>
      </c>
      <c r="B69">
        <v>-64.991669999999999</v>
      </c>
      <c r="C69">
        <v>-64.631770000000003</v>
      </c>
      <c r="D69">
        <v>60</v>
      </c>
      <c r="E69">
        <v>28</v>
      </c>
      <c r="F69">
        <v>2</v>
      </c>
    </row>
    <row r="70" spans="1:6">
      <c r="A70" t="s">
        <v>11</v>
      </c>
      <c r="B70">
        <v>-64.991669999999999</v>
      </c>
      <c r="C70">
        <v>-64.631770000000003</v>
      </c>
      <c r="D70">
        <v>60</v>
      </c>
      <c r="E70">
        <v>29</v>
      </c>
      <c r="F70">
        <v>1</v>
      </c>
    </row>
    <row r="71" spans="1:6">
      <c r="A71" t="s">
        <v>11</v>
      </c>
      <c r="B71">
        <v>-64.991669999999999</v>
      </c>
      <c r="C71">
        <v>-64.631770000000003</v>
      </c>
      <c r="D71">
        <v>400</v>
      </c>
      <c r="E71">
        <v>18</v>
      </c>
      <c r="F71">
        <v>114</v>
      </c>
    </row>
    <row r="72" spans="1:6">
      <c r="A72" t="s">
        <v>11</v>
      </c>
      <c r="B72">
        <v>-64.991669999999999</v>
      </c>
      <c r="C72">
        <v>-64.631770000000003</v>
      </c>
      <c r="D72">
        <v>400</v>
      </c>
      <c r="E72">
        <v>18</v>
      </c>
      <c r="F72">
        <v>120</v>
      </c>
    </row>
    <row r="73" spans="1:6">
      <c r="A73" t="s">
        <v>12</v>
      </c>
      <c r="B73">
        <v>-64.887519999999995</v>
      </c>
      <c r="C73">
        <v>-64.371319999999997</v>
      </c>
      <c r="D73">
        <v>10</v>
      </c>
      <c r="E73">
        <v>3</v>
      </c>
      <c r="F73">
        <v>0</v>
      </c>
    </row>
    <row r="74" spans="1:6">
      <c r="A74" t="s">
        <v>12</v>
      </c>
      <c r="B74">
        <v>-64.887519999999995</v>
      </c>
      <c r="C74">
        <v>-64.371319999999997</v>
      </c>
      <c r="D74">
        <v>10</v>
      </c>
      <c r="E74">
        <v>0</v>
      </c>
      <c r="F74">
        <v>0</v>
      </c>
    </row>
    <row r="75" spans="1:6">
      <c r="A75" t="s">
        <v>12</v>
      </c>
      <c r="B75">
        <v>-64.887519999999995</v>
      </c>
      <c r="C75">
        <v>-64.371319999999997</v>
      </c>
      <c r="D75">
        <v>70</v>
      </c>
      <c r="E75">
        <v>15</v>
      </c>
      <c r="F75">
        <v>2</v>
      </c>
    </row>
    <row r="76" spans="1:6">
      <c r="A76" t="s">
        <v>12</v>
      </c>
      <c r="B76">
        <v>-64.887519999999995</v>
      </c>
      <c r="C76">
        <v>-64.371319999999997</v>
      </c>
      <c r="D76">
        <v>70</v>
      </c>
      <c r="E76">
        <v>16</v>
      </c>
      <c r="F76">
        <v>2</v>
      </c>
    </row>
    <row r="77" spans="1:6">
      <c r="A77" t="s">
        <v>12</v>
      </c>
      <c r="B77">
        <v>-64.887519999999995</v>
      </c>
      <c r="C77">
        <v>-64.371319999999997</v>
      </c>
      <c r="D77">
        <v>400</v>
      </c>
      <c r="E77">
        <v>31</v>
      </c>
      <c r="F77">
        <v>5</v>
      </c>
    </row>
    <row r="78" spans="1:6">
      <c r="A78" t="s">
        <v>12</v>
      </c>
      <c r="B78">
        <v>-64.887519999999995</v>
      </c>
      <c r="C78">
        <v>-64.371319999999997</v>
      </c>
      <c r="D78">
        <v>400</v>
      </c>
      <c r="E78">
        <v>32</v>
      </c>
      <c r="F78">
        <v>5</v>
      </c>
    </row>
    <row r="79" spans="1:6">
      <c r="A79" t="s">
        <v>13</v>
      </c>
      <c r="B79">
        <v>-64.934809999999999</v>
      </c>
      <c r="C79">
        <v>-64.406279999999995</v>
      </c>
      <c r="D79">
        <v>10</v>
      </c>
      <c r="E79">
        <v>0</v>
      </c>
      <c r="F79">
        <v>0</v>
      </c>
    </row>
    <row r="80" spans="1:6">
      <c r="A80" t="s">
        <v>13</v>
      </c>
      <c r="B80">
        <v>-64.934809999999999</v>
      </c>
      <c r="C80">
        <v>-64.406279999999995</v>
      </c>
      <c r="D80">
        <v>10</v>
      </c>
      <c r="E80">
        <v>0</v>
      </c>
      <c r="F80">
        <v>0</v>
      </c>
    </row>
    <row r="81" spans="1:6">
      <c r="A81" t="s">
        <v>13</v>
      </c>
      <c r="B81">
        <v>-64.934809999999999</v>
      </c>
      <c r="C81">
        <v>-64.406279999999995</v>
      </c>
      <c r="D81">
        <v>50</v>
      </c>
      <c r="E81">
        <v>2</v>
      </c>
      <c r="F81">
        <v>2</v>
      </c>
    </row>
    <row r="82" spans="1:6">
      <c r="A82" t="s">
        <v>13</v>
      </c>
      <c r="B82">
        <v>-64.934809999999999</v>
      </c>
      <c r="C82">
        <v>-64.406279999999995</v>
      </c>
      <c r="D82">
        <v>50</v>
      </c>
      <c r="E82">
        <v>2</v>
      </c>
      <c r="F82">
        <v>2</v>
      </c>
    </row>
    <row r="83" spans="1:6">
      <c r="A83" t="s">
        <v>13</v>
      </c>
      <c r="B83">
        <v>-64.934809999999999</v>
      </c>
      <c r="C83">
        <v>-64.406279999999995</v>
      </c>
      <c r="D83">
        <v>1000</v>
      </c>
      <c r="E83">
        <v>8</v>
      </c>
      <c r="F83">
        <v>3</v>
      </c>
    </row>
    <row r="84" spans="1:6">
      <c r="A84" t="s">
        <v>13</v>
      </c>
      <c r="B84">
        <v>-64.934809999999999</v>
      </c>
      <c r="C84">
        <v>-64.406279999999995</v>
      </c>
      <c r="D84">
        <v>1000</v>
      </c>
      <c r="E84">
        <v>8</v>
      </c>
      <c r="F84">
        <v>3</v>
      </c>
    </row>
    <row r="85" spans="1:6">
      <c r="A85" t="s">
        <v>14</v>
      </c>
      <c r="B85">
        <v>-64.575310000000002</v>
      </c>
      <c r="C85">
        <v>-64.339169999999996</v>
      </c>
      <c r="D85">
        <v>10</v>
      </c>
      <c r="E85">
        <v>14</v>
      </c>
      <c r="F85">
        <v>3</v>
      </c>
    </row>
    <row r="86" spans="1:6">
      <c r="A86" t="s">
        <v>14</v>
      </c>
      <c r="B86">
        <v>-64.575310000000002</v>
      </c>
      <c r="C86">
        <v>-64.339169999999996</v>
      </c>
      <c r="D86">
        <v>10</v>
      </c>
      <c r="E86">
        <v>14</v>
      </c>
      <c r="F86">
        <v>4</v>
      </c>
    </row>
    <row r="87" spans="1:6">
      <c r="A87" t="s">
        <v>14</v>
      </c>
      <c r="B87">
        <v>-64.575310000000002</v>
      </c>
      <c r="C87">
        <v>-64.339169999999996</v>
      </c>
      <c r="D87">
        <v>80</v>
      </c>
      <c r="E87">
        <v>0</v>
      </c>
      <c r="F87">
        <v>0</v>
      </c>
    </row>
    <row r="88" spans="1:6">
      <c r="A88" t="s">
        <v>14</v>
      </c>
      <c r="B88">
        <v>-64.575310000000002</v>
      </c>
      <c r="C88">
        <v>-64.339169999999996</v>
      </c>
      <c r="D88">
        <v>80</v>
      </c>
      <c r="E88">
        <v>1</v>
      </c>
      <c r="F88">
        <v>0</v>
      </c>
    </row>
    <row r="89" spans="1:6">
      <c r="A89" t="s">
        <v>14</v>
      </c>
      <c r="B89">
        <v>-64.575310000000002</v>
      </c>
      <c r="C89">
        <v>-64.339169999999996</v>
      </c>
      <c r="D89">
        <v>500</v>
      </c>
      <c r="E89">
        <v>9</v>
      </c>
      <c r="F89">
        <v>7</v>
      </c>
    </row>
    <row r="90" spans="1:6">
      <c r="A90" t="s">
        <v>14</v>
      </c>
      <c r="B90">
        <v>-64.575310000000002</v>
      </c>
      <c r="C90">
        <v>-64.339169999999996</v>
      </c>
      <c r="D90">
        <v>500</v>
      </c>
      <c r="E90">
        <v>8</v>
      </c>
      <c r="F90">
        <v>6</v>
      </c>
    </row>
    <row r="91" spans="1:6">
      <c r="A91" t="s">
        <v>15</v>
      </c>
      <c r="B91">
        <v>-64.938839999999999</v>
      </c>
      <c r="C91">
        <v>-66.854100000000003</v>
      </c>
      <c r="D91">
        <v>10</v>
      </c>
      <c r="E91">
        <v>0</v>
      </c>
      <c r="F91">
        <v>0</v>
      </c>
    </row>
    <row r="92" spans="1:6">
      <c r="A92" t="s">
        <v>15</v>
      </c>
      <c r="B92">
        <v>-64.938839999999999</v>
      </c>
      <c r="C92">
        <v>-66.854100000000003</v>
      </c>
      <c r="D92">
        <v>10</v>
      </c>
      <c r="E92">
        <v>0</v>
      </c>
      <c r="F92">
        <v>0</v>
      </c>
    </row>
    <row r="93" spans="1:6">
      <c r="A93" t="s">
        <v>15</v>
      </c>
      <c r="B93">
        <v>-64.938839999999999</v>
      </c>
      <c r="C93">
        <v>-66.854100000000003</v>
      </c>
      <c r="D93">
        <v>80</v>
      </c>
      <c r="E93">
        <v>0</v>
      </c>
      <c r="F93">
        <v>0</v>
      </c>
    </row>
    <row r="94" spans="1:6">
      <c r="A94" t="s">
        <v>15</v>
      </c>
      <c r="B94">
        <v>-64.938839999999999</v>
      </c>
      <c r="C94">
        <v>-66.854100000000003</v>
      </c>
      <c r="D94">
        <v>80</v>
      </c>
      <c r="E94">
        <v>0</v>
      </c>
      <c r="F94">
        <v>-1</v>
      </c>
    </row>
    <row r="95" spans="1:6">
      <c r="A95" t="s">
        <v>15</v>
      </c>
      <c r="B95">
        <v>-64.938839999999999</v>
      </c>
      <c r="C95">
        <v>-66.854100000000003</v>
      </c>
      <c r="D95">
        <v>500</v>
      </c>
      <c r="E95">
        <v>2</v>
      </c>
      <c r="F95">
        <v>3</v>
      </c>
    </row>
    <row r="96" spans="1:6">
      <c r="A96" t="s">
        <v>15</v>
      </c>
      <c r="B96">
        <v>-64.938839999999999</v>
      </c>
      <c r="C96">
        <v>-66.854100000000003</v>
      </c>
      <c r="D96">
        <v>500</v>
      </c>
      <c r="E96">
        <v>2</v>
      </c>
      <c r="F96">
        <v>3</v>
      </c>
    </row>
    <row r="97" spans="1:6">
      <c r="A97" t="s">
        <v>15</v>
      </c>
      <c r="B97">
        <v>-64.938839999999999</v>
      </c>
      <c r="C97">
        <v>-66.854100000000003</v>
      </c>
      <c r="D97">
        <v>3040</v>
      </c>
      <c r="E97">
        <v>2</v>
      </c>
      <c r="F97">
        <v>1</v>
      </c>
    </row>
    <row r="98" spans="1:6">
      <c r="A98" t="s">
        <v>15</v>
      </c>
      <c r="B98">
        <v>-64.938839999999999</v>
      </c>
      <c r="C98">
        <v>-66.854100000000003</v>
      </c>
      <c r="D98">
        <v>3040</v>
      </c>
      <c r="E98">
        <v>1</v>
      </c>
      <c r="F98">
        <v>1</v>
      </c>
    </row>
    <row r="99" spans="1:6">
      <c r="A99" t="s">
        <v>16</v>
      </c>
      <c r="B99">
        <v>-64.610500000000002</v>
      </c>
      <c r="C99">
        <v>-68.293390000000002</v>
      </c>
      <c r="D99">
        <v>10</v>
      </c>
      <c r="E99">
        <v>1</v>
      </c>
      <c r="F99">
        <v>0</v>
      </c>
    </row>
    <row r="100" spans="1:6">
      <c r="A100" t="s">
        <v>16</v>
      </c>
      <c r="B100">
        <v>-64.610500000000002</v>
      </c>
      <c r="C100">
        <v>-68.293390000000002</v>
      </c>
      <c r="D100">
        <v>10</v>
      </c>
      <c r="E100">
        <v>1</v>
      </c>
      <c r="F100">
        <v>0</v>
      </c>
    </row>
    <row r="101" spans="1:6">
      <c r="A101" t="s">
        <v>16</v>
      </c>
      <c r="B101">
        <v>-64.610500000000002</v>
      </c>
      <c r="C101">
        <v>-68.293390000000002</v>
      </c>
      <c r="D101">
        <v>60</v>
      </c>
      <c r="E101">
        <v>9</v>
      </c>
      <c r="F101">
        <v>1</v>
      </c>
    </row>
    <row r="102" spans="1:6">
      <c r="A102" t="s">
        <v>16</v>
      </c>
      <c r="B102">
        <v>-64.610500000000002</v>
      </c>
      <c r="C102">
        <v>-68.293390000000002</v>
      </c>
      <c r="D102">
        <v>60</v>
      </c>
      <c r="E102">
        <v>9</v>
      </c>
      <c r="F102">
        <v>1</v>
      </c>
    </row>
    <row r="103" spans="1:6">
      <c r="A103" t="s">
        <v>16</v>
      </c>
      <c r="B103">
        <v>-64.610500000000002</v>
      </c>
      <c r="C103">
        <v>-68.293390000000002</v>
      </c>
      <c r="D103">
        <v>500</v>
      </c>
      <c r="E103">
        <v>2</v>
      </c>
      <c r="F103">
        <v>0</v>
      </c>
    </row>
    <row r="104" spans="1:6">
      <c r="A104" t="s">
        <v>16</v>
      </c>
      <c r="B104">
        <v>-64.610500000000002</v>
      </c>
      <c r="C104">
        <v>-68.293390000000002</v>
      </c>
      <c r="D104">
        <v>500</v>
      </c>
      <c r="E104">
        <v>2</v>
      </c>
      <c r="F104">
        <v>0</v>
      </c>
    </row>
    <row r="105" spans="1:6">
      <c r="A105" t="s">
        <v>16</v>
      </c>
      <c r="B105">
        <v>-64.610500000000002</v>
      </c>
      <c r="C105">
        <v>-68.293390000000002</v>
      </c>
      <c r="D105">
        <v>2670</v>
      </c>
      <c r="E105">
        <v>1</v>
      </c>
      <c r="F105">
        <v>-1</v>
      </c>
    </row>
    <row r="106" spans="1:6">
      <c r="A106" t="s">
        <v>16</v>
      </c>
      <c r="B106">
        <v>-64.610500000000002</v>
      </c>
      <c r="C106">
        <v>-68.293390000000002</v>
      </c>
      <c r="D106">
        <v>2670</v>
      </c>
      <c r="E106">
        <v>0</v>
      </c>
      <c r="F106">
        <v>-1</v>
      </c>
    </row>
    <row r="107" spans="1:6">
      <c r="A107" t="s">
        <v>17</v>
      </c>
      <c r="B107">
        <v>-65.23442</v>
      </c>
      <c r="C107">
        <v>-66.781019999999998</v>
      </c>
      <c r="D107">
        <v>10</v>
      </c>
      <c r="E107">
        <v>1</v>
      </c>
      <c r="F107">
        <v>0</v>
      </c>
    </row>
    <row r="108" spans="1:6">
      <c r="A108" t="s">
        <v>17</v>
      </c>
      <c r="B108">
        <v>-65.23442</v>
      </c>
      <c r="C108">
        <v>-66.781019999999998</v>
      </c>
      <c r="D108">
        <v>10</v>
      </c>
      <c r="E108">
        <v>2</v>
      </c>
      <c r="F108" t="s">
        <v>7</v>
      </c>
    </row>
    <row r="109" spans="1:6">
      <c r="A109" t="s">
        <v>17</v>
      </c>
      <c r="B109">
        <v>-65.23442</v>
      </c>
      <c r="C109">
        <v>-66.781019999999998</v>
      </c>
      <c r="D109">
        <v>60</v>
      </c>
      <c r="E109">
        <v>11</v>
      </c>
      <c r="F109">
        <v>4</v>
      </c>
    </row>
    <row r="110" spans="1:6">
      <c r="A110" t="s">
        <v>17</v>
      </c>
      <c r="B110">
        <v>-65.23442</v>
      </c>
      <c r="C110">
        <v>-66.781019999999998</v>
      </c>
      <c r="D110">
        <v>60</v>
      </c>
      <c r="E110">
        <v>9</v>
      </c>
      <c r="F110">
        <v>4</v>
      </c>
    </row>
    <row r="111" spans="1:6">
      <c r="A111" t="s">
        <v>17</v>
      </c>
      <c r="B111">
        <v>-65.23442</v>
      </c>
      <c r="C111">
        <v>-66.781019999999998</v>
      </c>
      <c r="D111">
        <v>350</v>
      </c>
      <c r="E111">
        <v>3</v>
      </c>
      <c r="F111">
        <v>1</v>
      </c>
    </row>
    <row r="112" spans="1:6">
      <c r="A112" t="s">
        <v>17</v>
      </c>
      <c r="B112">
        <v>-65.23442</v>
      </c>
      <c r="C112">
        <v>-66.781019999999998</v>
      </c>
      <c r="D112">
        <v>350</v>
      </c>
      <c r="E112">
        <v>4</v>
      </c>
      <c r="F112">
        <v>2</v>
      </c>
    </row>
    <row r="113" spans="1:6">
      <c r="A113" t="s">
        <v>18</v>
      </c>
      <c r="B113">
        <v>-65.473759999999999</v>
      </c>
      <c r="C113">
        <v>-66.153379999999999</v>
      </c>
      <c r="D113">
        <v>10</v>
      </c>
      <c r="E113">
        <v>0</v>
      </c>
      <c r="F113">
        <v>0</v>
      </c>
    </row>
    <row r="114" spans="1:6">
      <c r="A114" t="s">
        <v>18</v>
      </c>
      <c r="B114">
        <v>-65.473759999999999</v>
      </c>
      <c r="C114">
        <v>-66.153379999999999</v>
      </c>
      <c r="D114">
        <v>10</v>
      </c>
      <c r="E114">
        <v>0</v>
      </c>
      <c r="F114">
        <v>-1</v>
      </c>
    </row>
    <row r="115" spans="1:6">
      <c r="A115" t="s">
        <v>18</v>
      </c>
      <c r="B115">
        <v>-65.473759999999999</v>
      </c>
      <c r="C115">
        <v>-66.153379999999999</v>
      </c>
      <c r="D115">
        <v>75</v>
      </c>
      <c r="E115">
        <v>17</v>
      </c>
      <c r="F115">
        <v>2</v>
      </c>
    </row>
    <row r="116" spans="1:6">
      <c r="A116" t="s">
        <v>18</v>
      </c>
      <c r="B116">
        <v>-65.473759999999999</v>
      </c>
      <c r="C116">
        <v>-66.153379999999999</v>
      </c>
      <c r="D116">
        <v>75</v>
      </c>
      <c r="E116">
        <v>17</v>
      </c>
      <c r="F116">
        <v>2</v>
      </c>
    </row>
    <row r="117" spans="1:6">
      <c r="A117" t="s">
        <v>18</v>
      </c>
      <c r="B117">
        <v>-65.473759999999999</v>
      </c>
      <c r="C117">
        <v>-66.153379999999999</v>
      </c>
      <c r="D117">
        <v>250</v>
      </c>
      <c r="E117">
        <v>26</v>
      </c>
      <c r="F117">
        <v>3</v>
      </c>
    </row>
    <row r="118" spans="1:6">
      <c r="A118" t="s">
        <v>18</v>
      </c>
      <c r="B118">
        <v>-65.473759999999999</v>
      </c>
      <c r="C118">
        <v>-66.153379999999999</v>
      </c>
      <c r="D118">
        <v>250</v>
      </c>
      <c r="E118">
        <v>23</v>
      </c>
      <c r="F118">
        <v>3</v>
      </c>
    </row>
    <row r="119" spans="1:6">
      <c r="A119" t="s">
        <v>19</v>
      </c>
      <c r="B119">
        <v>-66.253010000000003</v>
      </c>
      <c r="C119">
        <v>-67.337019999999995</v>
      </c>
      <c r="D119">
        <v>10</v>
      </c>
      <c r="E119">
        <v>0</v>
      </c>
      <c r="F119">
        <v>0</v>
      </c>
    </row>
    <row r="120" spans="1:6">
      <c r="A120" t="s">
        <v>19</v>
      </c>
      <c r="B120">
        <v>-66.253010000000003</v>
      </c>
      <c r="C120">
        <v>-67.337019999999995</v>
      </c>
      <c r="D120">
        <v>10</v>
      </c>
      <c r="E120">
        <v>0</v>
      </c>
      <c r="F120">
        <v>0</v>
      </c>
    </row>
    <row r="121" spans="1:6">
      <c r="A121" t="s">
        <v>19</v>
      </c>
      <c r="B121">
        <v>-66.253010000000003</v>
      </c>
      <c r="C121">
        <v>-67.337019999999995</v>
      </c>
      <c r="D121">
        <v>50</v>
      </c>
      <c r="E121">
        <v>4</v>
      </c>
      <c r="F121">
        <v>2</v>
      </c>
    </row>
    <row r="122" spans="1:6">
      <c r="A122" t="s">
        <v>19</v>
      </c>
      <c r="B122">
        <v>-66.253010000000003</v>
      </c>
      <c r="C122">
        <v>-67.337019999999995</v>
      </c>
      <c r="D122">
        <v>50</v>
      </c>
      <c r="E122">
        <v>3</v>
      </c>
      <c r="F122">
        <v>2</v>
      </c>
    </row>
    <row r="123" spans="1:6">
      <c r="A123" t="s">
        <v>19</v>
      </c>
      <c r="B123">
        <v>-66.253010000000003</v>
      </c>
      <c r="C123">
        <v>-67.337019999999995</v>
      </c>
      <c r="D123">
        <v>175</v>
      </c>
      <c r="E123">
        <v>62</v>
      </c>
      <c r="F123">
        <v>6</v>
      </c>
    </row>
    <row r="124" spans="1:6">
      <c r="A124" t="s">
        <v>19</v>
      </c>
      <c r="B124">
        <v>-66.253010000000003</v>
      </c>
      <c r="C124">
        <v>-67.337019999999995</v>
      </c>
      <c r="D124">
        <v>175</v>
      </c>
      <c r="E124">
        <v>55</v>
      </c>
      <c r="F124">
        <v>6</v>
      </c>
    </row>
    <row r="125" spans="1:6">
      <c r="A125" t="s">
        <v>20</v>
      </c>
      <c r="B125">
        <v>-65.876819999999995</v>
      </c>
      <c r="C125">
        <v>-68.282169999999994</v>
      </c>
      <c r="D125">
        <v>10</v>
      </c>
      <c r="E125">
        <v>-2</v>
      </c>
      <c r="F125">
        <v>0</v>
      </c>
    </row>
    <row r="126" spans="1:6">
      <c r="A126" t="s">
        <v>20</v>
      </c>
      <c r="B126">
        <v>-65.876819999999995</v>
      </c>
      <c r="C126">
        <v>-68.282169999999994</v>
      </c>
      <c r="D126">
        <v>10</v>
      </c>
      <c r="E126">
        <v>-1</v>
      </c>
      <c r="F126">
        <v>0</v>
      </c>
    </row>
    <row r="127" spans="1:6">
      <c r="A127" t="s">
        <v>20</v>
      </c>
      <c r="B127">
        <v>-65.876819999999995</v>
      </c>
      <c r="C127">
        <v>-68.282169999999994</v>
      </c>
      <c r="D127">
        <v>70</v>
      </c>
      <c r="E127">
        <v>20</v>
      </c>
      <c r="F127">
        <v>2</v>
      </c>
    </row>
    <row r="128" spans="1:6">
      <c r="A128" t="s">
        <v>20</v>
      </c>
      <c r="B128">
        <v>-65.876819999999995</v>
      </c>
      <c r="C128">
        <v>-68.282169999999994</v>
      </c>
      <c r="D128">
        <v>70</v>
      </c>
      <c r="E128">
        <v>22</v>
      </c>
      <c r="F128">
        <v>2</v>
      </c>
    </row>
    <row r="129" spans="1:6">
      <c r="A129" t="s">
        <v>20</v>
      </c>
      <c r="B129">
        <v>-65.876819999999995</v>
      </c>
      <c r="C129">
        <v>-68.282169999999994</v>
      </c>
      <c r="D129">
        <v>300</v>
      </c>
      <c r="E129">
        <v>15</v>
      </c>
      <c r="F129">
        <v>2</v>
      </c>
    </row>
    <row r="130" spans="1:6">
      <c r="A130" t="s">
        <v>20</v>
      </c>
      <c r="B130">
        <v>-65.876819999999995</v>
      </c>
      <c r="C130">
        <v>-68.282169999999994</v>
      </c>
      <c r="D130">
        <v>300</v>
      </c>
      <c r="E130">
        <v>14</v>
      </c>
      <c r="F130">
        <v>2</v>
      </c>
    </row>
    <row r="131" spans="1:6">
      <c r="A131" t="s">
        <v>21</v>
      </c>
      <c r="B131">
        <v>-65.237300000000005</v>
      </c>
      <c r="C131">
        <v>-69.798910000000006</v>
      </c>
      <c r="D131">
        <v>10</v>
      </c>
      <c r="E131">
        <v>1</v>
      </c>
      <c r="F131">
        <v>0</v>
      </c>
    </row>
    <row r="132" spans="1:6">
      <c r="A132" t="s">
        <v>21</v>
      </c>
      <c r="B132">
        <v>-65.237300000000005</v>
      </c>
      <c r="C132">
        <v>-69.798910000000006</v>
      </c>
      <c r="D132">
        <v>10</v>
      </c>
      <c r="E132">
        <v>-1</v>
      </c>
      <c r="F132">
        <v>0</v>
      </c>
    </row>
    <row r="133" spans="1:6">
      <c r="A133" t="s">
        <v>21</v>
      </c>
      <c r="B133">
        <v>-65.237300000000005</v>
      </c>
      <c r="C133">
        <v>-69.798910000000006</v>
      </c>
      <c r="D133">
        <v>60</v>
      </c>
      <c r="E133">
        <v>12</v>
      </c>
      <c r="F133">
        <v>0</v>
      </c>
    </row>
    <row r="134" spans="1:6">
      <c r="A134" t="s">
        <v>21</v>
      </c>
      <c r="B134">
        <v>-65.237300000000005</v>
      </c>
      <c r="C134">
        <v>-69.798910000000006</v>
      </c>
      <c r="D134">
        <v>60</v>
      </c>
      <c r="E134">
        <v>11</v>
      </c>
      <c r="F134">
        <v>0</v>
      </c>
    </row>
    <row r="135" spans="1:6">
      <c r="A135" t="s">
        <v>21</v>
      </c>
      <c r="B135">
        <v>-65.237300000000005</v>
      </c>
      <c r="C135">
        <v>-69.798910000000006</v>
      </c>
      <c r="D135">
        <v>200</v>
      </c>
      <c r="E135">
        <v>16</v>
      </c>
      <c r="F135">
        <v>8</v>
      </c>
    </row>
    <row r="136" spans="1:6">
      <c r="A136" t="s">
        <v>21</v>
      </c>
      <c r="B136">
        <v>-65.237300000000005</v>
      </c>
      <c r="C136">
        <v>-69.798910000000006</v>
      </c>
      <c r="D136">
        <v>200</v>
      </c>
      <c r="E136">
        <v>16</v>
      </c>
      <c r="F136">
        <v>9</v>
      </c>
    </row>
    <row r="137" spans="1:6">
      <c r="A137" t="s">
        <v>21</v>
      </c>
      <c r="B137">
        <v>-65.237300000000005</v>
      </c>
      <c r="C137">
        <v>-69.798910000000006</v>
      </c>
      <c r="D137">
        <v>2699</v>
      </c>
      <c r="E137">
        <v>0</v>
      </c>
      <c r="F137">
        <v>0</v>
      </c>
    </row>
    <row r="138" spans="1:6">
      <c r="A138" t="s">
        <v>21</v>
      </c>
      <c r="B138">
        <v>-65.237300000000005</v>
      </c>
      <c r="C138">
        <v>-69.798910000000006</v>
      </c>
      <c r="D138">
        <v>2699</v>
      </c>
      <c r="E138">
        <v>1</v>
      </c>
      <c r="F138">
        <v>0</v>
      </c>
    </row>
    <row r="139" spans="1:6">
      <c r="A139" t="s">
        <v>22</v>
      </c>
      <c r="B139">
        <v>-65.848789999999994</v>
      </c>
      <c r="C139">
        <v>-71.378969999999995</v>
      </c>
      <c r="D139">
        <v>10</v>
      </c>
      <c r="E139">
        <v>-1</v>
      </c>
      <c r="F139">
        <v>0</v>
      </c>
    </row>
    <row r="140" spans="1:6">
      <c r="A140" t="s">
        <v>22</v>
      </c>
      <c r="B140">
        <v>-65.848789999999994</v>
      </c>
      <c r="C140">
        <v>-71.378969999999995</v>
      </c>
      <c r="D140">
        <v>10</v>
      </c>
      <c r="E140">
        <v>-1</v>
      </c>
      <c r="F140">
        <v>0</v>
      </c>
    </row>
    <row r="141" spans="1:6">
      <c r="A141" t="s">
        <v>22</v>
      </c>
      <c r="B141">
        <v>-65.848789999999994</v>
      </c>
      <c r="C141">
        <v>-71.378969999999995</v>
      </c>
      <c r="D141">
        <v>70</v>
      </c>
      <c r="E141">
        <v>8</v>
      </c>
      <c r="F141">
        <v>1</v>
      </c>
    </row>
    <row r="142" spans="1:6">
      <c r="A142" t="s">
        <v>22</v>
      </c>
      <c r="B142">
        <v>-65.848789999999994</v>
      </c>
      <c r="C142">
        <v>-71.378969999999995</v>
      </c>
      <c r="D142">
        <v>70</v>
      </c>
      <c r="E142">
        <v>9</v>
      </c>
      <c r="F142">
        <v>1</v>
      </c>
    </row>
    <row r="143" spans="1:6">
      <c r="A143" t="s">
        <v>22</v>
      </c>
      <c r="B143">
        <v>-65.848789999999994</v>
      </c>
      <c r="C143">
        <v>-71.378969999999995</v>
      </c>
      <c r="D143">
        <v>400</v>
      </c>
      <c r="E143">
        <v>7</v>
      </c>
      <c r="F143">
        <v>0</v>
      </c>
    </row>
    <row r="144" spans="1:6">
      <c r="A144" t="s">
        <v>22</v>
      </c>
      <c r="B144">
        <v>-65.848789999999994</v>
      </c>
      <c r="C144">
        <v>-71.378969999999995</v>
      </c>
      <c r="D144">
        <v>400</v>
      </c>
      <c r="E144">
        <v>7</v>
      </c>
      <c r="F144">
        <v>1</v>
      </c>
    </row>
    <row r="145" spans="1:6">
      <c r="A145" t="s">
        <v>22</v>
      </c>
      <c r="B145">
        <v>-65.848789999999994</v>
      </c>
      <c r="C145">
        <v>-71.378969999999995</v>
      </c>
      <c r="D145">
        <v>3048</v>
      </c>
      <c r="E145">
        <v>2</v>
      </c>
      <c r="F145">
        <v>0</v>
      </c>
    </row>
    <row r="146" spans="1:6">
      <c r="A146" t="s">
        <v>22</v>
      </c>
      <c r="B146">
        <v>-65.848789999999994</v>
      </c>
      <c r="C146">
        <v>-71.378969999999995</v>
      </c>
      <c r="D146">
        <v>3048</v>
      </c>
      <c r="E146">
        <v>2</v>
      </c>
      <c r="F146">
        <v>0</v>
      </c>
    </row>
    <row r="147" spans="1:6">
      <c r="A147" t="s">
        <v>23</v>
      </c>
      <c r="B147">
        <v>-66.506649999999993</v>
      </c>
      <c r="C147">
        <v>-69.008790000000005</v>
      </c>
      <c r="D147">
        <v>10</v>
      </c>
      <c r="E147">
        <v>1</v>
      </c>
      <c r="F147">
        <v>0</v>
      </c>
    </row>
    <row r="148" spans="1:6">
      <c r="A148" t="s">
        <v>23</v>
      </c>
      <c r="B148">
        <v>-66.506649999999993</v>
      </c>
      <c r="C148">
        <v>-69.008790000000005</v>
      </c>
      <c r="D148">
        <v>10</v>
      </c>
      <c r="E148">
        <v>1</v>
      </c>
      <c r="F148">
        <v>0</v>
      </c>
    </row>
    <row r="149" spans="1:6">
      <c r="A149" t="s">
        <v>23</v>
      </c>
      <c r="B149">
        <v>-66.506649999999993</v>
      </c>
      <c r="C149">
        <v>-69.008790000000005</v>
      </c>
      <c r="D149">
        <v>75</v>
      </c>
      <c r="E149">
        <v>105</v>
      </c>
      <c r="F149">
        <v>4</v>
      </c>
    </row>
    <row r="150" spans="1:6">
      <c r="A150" t="s">
        <v>23</v>
      </c>
      <c r="B150">
        <v>-66.506649999999993</v>
      </c>
      <c r="C150">
        <v>-69.008790000000005</v>
      </c>
      <c r="D150">
        <v>75</v>
      </c>
      <c r="E150">
        <v>97</v>
      </c>
      <c r="F150">
        <v>4</v>
      </c>
    </row>
    <row r="151" spans="1:6">
      <c r="A151" t="s">
        <v>23</v>
      </c>
      <c r="B151">
        <v>-66.506649999999993</v>
      </c>
      <c r="C151">
        <v>-69.008790000000005</v>
      </c>
      <c r="D151">
        <v>400</v>
      </c>
      <c r="E151">
        <v>5</v>
      </c>
      <c r="F151">
        <v>2</v>
      </c>
    </row>
    <row r="152" spans="1:6">
      <c r="A152" t="s">
        <v>23</v>
      </c>
      <c r="B152">
        <v>-66.506649999999993</v>
      </c>
      <c r="C152">
        <v>-69.008790000000005</v>
      </c>
      <c r="D152">
        <v>400</v>
      </c>
      <c r="E152">
        <v>5</v>
      </c>
      <c r="F152">
        <v>2</v>
      </c>
    </row>
    <row r="153" spans="1:6">
      <c r="A153" t="s">
        <v>24</v>
      </c>
      <c r="B153">
        <v>-66.891120000000001</v>
      </c>
      <c r="C153">
        <v>-68.923220000000001</v>
      </c>
      <c r="D153">
        <v>15</v>
      </c>
      <c r="E153">
        <v>1</v>
      </c>
      <c r="F153">
        <v>0</v>
      </c>
    </row>
    <row r="154" spans="1:6">
      <c r="A154" t="s">
        <v>24</v>
      </c>
      <c r="B154">
        <v>-66.891120000000001</v>
      </c>
      <c r="C154">
        <v>-68.923220000000001</v>
      </c>
      <c r="D154">
        <v>15</v>
      </c>
      <c r="E154">
        <v>1</v>
      </c>
      <c r="F154">
        <v>1</v>
      </c>
    </row>
    <row r="155" spans="1:6">
      <c r="A155" t="s">
        <v>24</v>
      </c>
      <c r="B155">
        <v>-66.891120000000001</v>
      </c>
      <c r="C155">
        <v>-68.923220000000001</v>
      </c>
      <c r="D155">
        <v>80</v>
      </c>
      <c r="E155">
        <v>114</v>
      </c>
      <c r="F155">
        <v>2</v>
      </c>
    </row>
    <row r="156" spans="1:6">
      <c r="A156" t="s">
        <v>24</v>
      </c>
      <c r="B156">
        <v>-66.891120000000001</v>
      </c>
      <c r="C156">
        <v>-68.923220000000001</v>
      </c>
      <c r="D156">
        <v>80</v>
      </c>
      <c r="E156">
        <v>115</v>
      </c>
      <c r="F156">
        <v>2</v>
      </c>
    </row>
    <row r="157" spans="1:6">
      <c r="A157" t="s">
        <v>24</v>
      </c>
      <c r="B157">
        <v>-66.891120000000001</v>
      </c>
      <c r="C157">
        <v>-68.923220000000001</v>
      </c>
      <c r="D157">
        <v>550</v>
      </c>
      <c r="E157">
        <v>10</v>
      </c>
      <c r="F157">
        <v>1</v>
      </c>
    </row>
    <row r="158" spans="1:6">
      <c r="A158" t="s">
        <v>24</v>
      </c>
      <c r="B158">
        <v>-66.891120000000001</v>
      </c>
      <c r="C158">
        <v>-68.923220000000001</v>
      </c>
      <c r="D158">
        <v>550</v>
      </c>
      <c r="E158">
        <v>10</v>
      </c>
      <c r="F158">
        <v>1</v>
      </c>
    </row>
    <row r="159" spans="1:6">
      <c r="A159" t="s">
        <v>25</v>
      </c>
      <c r="B159">
        <v>-67.510440000000003</v>
      </c>
      <c r="C159">
        <v>-70.923220000000001</v>
      </c>
      <c r="D159">
        <v>15</v>
      </c>
      <c r="E159">
        <v>25</v>
      </c>
      <c r="F159">
        <v>4</v>
      </c>
    </row>
    <row r="160" spans="1:6">
      <c r="A160" t="s">
        <v>25</v>
      </c>
      <c r="B160">
        <v>-67.510440000000003</v>
      </c>
      <c r="C160">
        <v>-70.923220000000001</v>
      </c>
      <c r="D160">
        <v>15</v>
      </c>
      <c r="E160">
        <v>26</v>
      </c>
      <c r="F160">
        <v>4</v>
      </c>
    </row>
    <row r="161" spans="1:6">
      <c r="A161" t="s">
        <v>25</v>
      </c>
      <c r="B161">
        <v>-67.510440000000003</v>
      </c>
      <c r="C161">
        <v>-70.923220000000001</v>
      </c>
      <c r="D161">
        <v>80</v>
      </c>
      <c r="E161">
        <v>3</v>
      </c>
      <c r="F161">
        <v>0</v>
      </c>
    </row>
    <row r="162" spans="1:6">
      <c r="A162" t="s">
        <v>25</v>
      </c>
      <c r="B162">
        <v>-67.510440000000003</v>
      </c>
      <c r="C162">
        <v>-70.923220000000001</v>
      </c>
      <c r="D162">
        <v>80</v>
      </c>
      <c r="E162">
        <v>3</v>
      </c>
      <c r="F162">
        <v>0</v>
      </c>
    </row>
    <row r="163" spans="1:6">
      <c r="A163" t="s">
        <v>25</v>
      </c>
      <c r="B163">
        <v>-67.510440000000003</v>
      </c>
      <c r="C163">
        <v>-70.923220000000001</v>
      </c>
      <c r="D163">
        <v>400</v>
      </c>
      <c r="E163" t="s">
        <v>7</v>
      </c>
      <c r="F163">
        <v>2</v>
      </c>
    </row>
    <row r="164" spans="1:6">
      <c r="A164" t="s">
        <v>25</v>
      </c>
      <c r="B164">
        <v>-67.510440000000003</v>
      </c>
      <c r="C164">
        <v>-70.923220000000001</v>
      </c>
      <c r="D164">
        <v>400</v>
      </c>
      <c r="E164" t="s">
        <v>7</v>
      </c>
      <c r="F164">
        <v>2</v>
      </c>
    </row>
    <row r="165" spans="1:6">
      <c r="A165" t="s">
        <v>26</v>
      </c>
      <c r="B165">
        <v>-67.114829999999998</v>
      </c>
      <c r="C165">
        <v>-71.530119999999997</v>
      </c>
      <c r="D165">
        <v>15</v>
      </c>
      <c r="E165">
        <v>1</v>
      </c>
      <c r="F165">
        <v>0</v>
      </c>
    </row>
    <row r="166" spans="1:6">
      <c r="A166" t="s">
        <v>26</v>
      </c>
      <c r="B166">
        <v>-67.114829999999998</v>
      </c>
      <c r="C166">
        <v>-71.530119999999997</v>
      </c>
      <c r="D166">
        <v>15</v>
      </c>
      <c r="E166">
        <v>1</v>
      </c>
      <c r="F166">
        <v>0</v>
      </c>
    </row>
    <row r="167" spans="1:6">
      <c r="A167" t="s">
        <v>26</v>
      </c>
      <c r="B167">
        <v>-67.114829999999998</v>
      </c>
      <c r="C167">
        <v>-71.530119999999997</v>
      </c>
      <c r="D167">
        <v>70</v>
      </c>
      <c r="E167">
        <v>21</v>
      </c>
      <c r="F167">
        <v>1</v>
      </c>
    </row>
    <row r="168" spans="1:6">
      <c r="A168" t="s">
        <v>26</v>
      </c>
      <c r="B168">
        <v>-67.114829999999998</v>
      </c>
      <c r="C168">
        <v>-71.530119999999997</v>
      </c>
      <c r="D168">
        <v>70</v>
      </c>
      <c r="E168" t="s">
        <v>7</v>
      </c>
      <c r="F168">
        <v>1</v>
      </c>
    </row>
    <row r="169" spans="1:6">
      <c r="A169" t="s">
        <v>26</v>
      </c>
      <c r="B169">
        <v>-67.114829999999998</v>
      </c>
      <c r="C169">
        <v>-71.530119999999997</v>
      </c>
      <c r="D169">
        <v>300</v>
      </c>
      <c r="E169">
        <v>5</v>
      </c>
      <c r="F169">
        <v>2</v>
      </c>
    </row>
    <row r="170" spans="1:6">
      <c r="A170" t="s">
        <v>26</v>
      </c>
      <c r="B170">
        <v>-67.114829999999998</v>
      </c>
      <c r="C170">
        <v>-71.530119999999997</v>
      </c>
      <c r="D170">
        <v>300</v>
      </c>
      <c r="E170">
        <v>6</v>
      </c>
      <c r="F170">
        <v>2</v>
      </c>
    </row>
    <row r="171" spans="1:6">
      <c r="A171" t="s">
        <v>27</v>
      </c>
      <c r="B171">
        <v>-66.579269999999994</v>
      </c>
      <c r="C171">
        <v>-72.739599999999996</v>
      </c>
      <c r="D171">
        <v>15</v>
      </c>
      <c r="E171">
        <v>1</v>
      </c>
      <c r="F171">
        <v>0</v>
      </c>
    </row>
    <row r="172" spans="1:6">
      <c r="A172" t="s">
        <v>27</v>
      </c>
      <c r="B172">
        <v>-66.579269999999994</v>
      </c>
      <c r="C172">
        <v>-72.739599999999996</v>
      </c>
      <c r="D172">
        <v>15</v>
      </c>
      <c r="E172">
        <v>1</v>
      </c>
      <c r="F172">
        <v>0</v>
      </c>
    </row>
    <row r="173" spans="1:6">
      <c r="A173" t="s">
        <v>27</v>
      </c>
      <c r="B173">
        <v>-66.579269999999994</v>
      </c>
      <c r="C173">
        <v>-72.739599999999996</v>
      </c>
      <c r="D173">
        <v>70</v>
      </c>
      <c r="E173">
        <v>32</v>
      </c>
      <c r="F173">
        <v>1</v>
      </c>
    </row>
    <row r="174" spans="1:6">
      <c r="A174" t="s">
        <v>27</v>
      </c>
      <c r="B174">
        <v>-66.579269999999994</v>
      </c>
      <c r="C174">
        <v>-72.739599999999996</v>
      </c>
      <c r="D174">
        <v>70</v>
      </c>
      <c r="E174">
        <v>32</v>
      </c>
      <c r="F174">
        <v>1</v>
      </c>
    </row>
    <row r="175" spans="1:6">
      <c r="A175" t="s">
        <v>27</v>
      </c>
      <c r="B175">
        <v>-66.579269999999994</v>
      </c>
      <c r="C175">
        <v>-72.739599999999996</v>
      </c>
      <c r="D175">
        <v>400</v>
      </c>
      <c r="E175">
        <v>4</v>
      </c>
      <c r="F175">
        <v>1</v>
      </c>
    </row>
    <row r="176" spans="1:6">
      <c r="A176" t="s">
        <v>27</v>
      </c>
      <c r="B176">
        <v>-66.579269999999994</v>
      </c>
      <c r="C176">
        <v>-72.739599999999996</v>
      </c>
      <c r="D176">
        <v>400</v>
      </c>
      <c r="E176">
        <v>4</v>
      </c>
      <c r="F176">
        <v>1</v>
      </c>
    </row>
    <row r="177" spans="1:6">
      <c r="A177" t="s">
        <v>27</v>
      </c>
      <c r="B177">
        <v>-66.579269999999994</v>
      </c>
      <c r="C177">
        <v>-72.739599999999996</v>
      </c>
      <c r="D177">
        <v>2500</v>
      </c>
      <c r="E177">
        <v>1</v>
      </c>
      <c r="F177">
        <v>0</v>
      </c>
    </row>
    <row r="178" spans="1:6">
      <c r="A178" t="s">
        <v>27</v>
      </c>
      <c r="B178">
        <v>-66.579269999999994</v>
      </c>
      <c r="C178">
        <v>-72.739599999999996</v>
      </c>
      <c r="D178">
        <v>2500</v>
      </c>
      <c r="E178">
        <v>1</v>
      </c>
      <c r="F178">
        <v>0</v>
      </c>
    </row>
    <row r="179" spans="1:6">
      <c r="A179" t="s">
        <v>28</v>
      </c>
      <c r="B179">
        <v>-67.156790000000001</v>
      </c>
      <c r="C179">
        <v>-74.473519999999994</v>
      </c>
      <c r="D179">
        <v>10</v>
      </c>
      <c r="E179" t="s">
        <v>7</v>
      </c>
      <c r="F179">
        <v>0</v>
      </c>
    </row>
    <row r="180" spans="1:6">
      <c r="A180" t="s">
        <v>28</v>
      </c>
      <c r="B180">
        <v>-67.156790000000001</v>
      </c>
      <c r="C180">
        <v>-74.473519999999994</v>
      </c>
      <c r="D180">
        <v>10</v>
      </c>
      <c r="E180" t="s">
        <v>7</v>
      </c>
      <c r="F180">
        <v>0</v>
      </c>
    </row>
    <row r="181" spans="1:6">
      <c r="A181" t="s">
        <v>28</v>
      </c>
      <c r="B181">
        <v>-67.156790000000001</v>
      </c>
      <c r="C181">
        <v>-74.473519999999994</v>
      </c>
      <c r="D181">
        <v>70</v>
      </c>
      <c r="E181">
        <v>5</v>
      </c>
      <c r="F181">
        <v>0</v>
      </c>
    </row>
    <row r="182" spans="1:6">
      <c r="A182" t="s">
        <v>28</v>
      </c>
      <c r="B182">
        <v>-67.156790000000001</v>
      </c>
      <c r="C182">
        <v>-74.473519999999994</v>
      </c>
      <c r="D182">
        <v>70</v>
      </c>
      <c r="E182">
        <v>5</v>
      </c>
      <c r="F182">
        <v>0</v>
      </c>
    </row>
    <row r="183" spans="1:6">
      <c r="A183" t="s">
        <v>28</v>
      </c>
      <c r="B183">
        <v>-67.156790000000001</v>
      </c>
      <c r="C183">
        <v>-74.473519999999994</v>
      </c>
      <c r="D183">
        <v>200</v>
      </c>
      <c r="E183" t="s">
        <v>7</v>
      </c>
      <c r="F183">
        <v>1</v>
      </c>
    </row>
    <row r="184" spans="1:6">
      <c r="A184" t="s">
        <v>28</v>
      </c>
      <c r="B184">
        <v>-67.156790000000001</v>
      </c>
      <c r="C184">
        <v>-74.473519999999994</v>
      </c>
      <c r="D184">
        <v>200</v>
      </c>
      <c r="E184" t="s">
        <v>7</v>
      </c>
      <c r="F184">
        <v>2</v>
      </c>
    </row>
    <row r="185" spans="1:6">
      <c r="A185" t="s">
        <v>28</v>
      </c>
      <c r="B185">
        <v>-67.156790000000001</v>
      </c>
      <c r="C185">
        <v>-74.473519999999994</v>
      </c>
      <c r="D185">
        <v>2984</v>
      </c>
      <c r="E185">
        <v>0</v>
      </c>
      <c r="F185">
        <v>0</v>
      </c>
    </row>
    <row r="186" spans="1:6">
      <c r="A186" t="s">
        <v>28</v>
      </c>
      <c r="B186">
        <v>-67.156790000000001</v>
      </c>
      <c r="C186">
        <v>-74.473519999999994</v>
      </c>
      <c r="D186">
        <v>2984</v>
      </c>
      <c r="E186">
        <v>0</v>
      </c>
      <c r="F186">
        <v>0</v>
      </c>
    </row>
    <row r="187" spans="1:6">
      <c r="A187" t="s">
        <v>29</v>
      </c>
      <c r="B187">
        <v>-67.705879999999993</v>
      </c>
      <c r="C187">
        <v>-73.277559999999994</v>
      </c>
      <c r="D187">
        <v>10</v>
      </c>
      <c r="E187" t="s">
        <v>7</v>
      </c>
      <c r="F187">
        <v>0</v>
      </c>
    </row>
    <row r="188" spans="1:6">
      <c r="A188" t="s">
        <v>29</v>
      </c>
      <c r="B188">
        <v>-67.705879999999993</v>
      </c>
      <c r="C188">
        <v>-73.277559999999994</v>
      </c>
      <c r="D188">
        <v>10</v>
      </c>
      <c r="E188" t="s">
        <v>7</v>
      </c>
      <c r="F188">
        <v>0</v>
      </c>
    </row>
    <row r="189" spans="1:6">
      <c r="A189" t="s">
        <v>29</v>
      </c>
      <c r="B189">
        <v>-67.705879999999993</v>
      </c>
      <c r="C189">
        <v>-73.277559999999994</v>
      </c>
      <c r="D189">
        <v>60</v>
      </c>
      <c r="E189">
        <v>14</v>
      </c>
      <c r="F189">
        <v>3</v>
      </c>
    </row>
    <row r="190" spans="1:6">
      <c r="A190" t="s">
        <v>29</v>
      </c>
      <c r="B190">
        <v>-67.705879999999993</v>
      </c>
      <c r="C190">
        <v>-73.277559999999994</v>
      </c>
      <c r="D190">
        <v>60</v>
      </c>
      <c r="E190" t="s">
        <v>7</v>
      </c>
      <c r="F190">
        <v>3</v>
      </c>
    </row>
    <row r="191" spans="1:6">
      <c r="A191" t="s">
        <v>29</v>
      </c>
      <c r="B191">
        <v>-67.705879999999993</v>
      </c>
      <c r="C191">
        <v>-73.277559999999994</v>
      </c>
      <c r="D191">
        <v>400</v>
      </c>
      <c r="E191" t="s">
        <v>7</v>
      </c>
      <c r="F191">
        <v>4</v>
      </c>
    </row>
    <row r="192" spans="1:6">
      <c r="A192" t="s">
        <v>29</v>
      </c>
      <c r="B192">
        <v>-67.705879999999993</v>
      </c>
      <c r="C192">
        <v>-73.277559999999994</v>
      </c>
      <c r="D192">
        <v>400</v>
      </c>
      <c r="E192" t="s">
        <v>7</v>
      </c>
      <c r="F192">
        <v>3</v>
      </c>
    </row>
    <row r="193" spans="1:6">
      <c r="A193" t="s">
        <v>30</v>
      </c>
      <c r="B193">
        <v>-68.694569999999999</v>
      </c>
      <c r="C193">
        <v>-74.193370000000002</v>
      </c>
      <c r="D193">
        <v>100</v>
      </c>
      <c r="E193" t="s">
        <v>7</v>
      </c>
      <c r="F193">
        <v>2</v>
      </c>
    </row>
    <row r="194" spans="1:6">
      <c r="A194" t="s">
        <v>30</v>
      </c>
      <c r="B194">
        <v>-68.694569999999999</v>
      </c>
      <c r="C194">
        <v>-74.193370000000002</v>
      </c>
      <c r="D194">
        <v>100</v>
      </c>
      <c r="E194">
        <v>39</v>
      </c>
      <c r="F194">
        <v>2</v>
      </c>
    </row>
    <row r="195" spans="1:6">
      <c r="A195" t="s">
        <v>30</v>
      </c>
      <c r="B195">
        <v>-68.694569999999999</v>
      </c>
      <c r="C195">
        <v>-74.193370000000002</v>
      </c>
      <c r="D195">
        <v>200</v>
      </c>
      <c r="E195">
        <v>7</v>
      </c>
      <c r="F195">
        <v>2</v>
      </c>
    </row>
    <row r="196" spans="1:6">
      <c r="A196" t="s">
        <v>30</v>
      </c>
      <c r="B196">
        <v>-68.694569999999999</v>
      </c>
      <c r="C196">
        <v>-74.193370000000002</v>
      </c>
      <c r="D196">
        <v>200</v>
      </c>
      <c r="E196" t="s">
        <v>7</v>
      </c>
      <c r="F196">
        <v>1</v>
      </c>
    </row>
    <row r="197" spans="1:6">
      <c r="A197" t="s">
        <v>30</v>
      </c>
      <c r="B197">
        <v>-68.694569999999999</v>
      </c>
      <c r="C197">
        <v>-74.193370000000002</v>
      </c>
      <c r="D197">
        <v>500</v>
      </c>
      <c r="E197" t="s">
        <v>7</v>
      </c>
      <c r="F197">
        <v>1</v>
      </c>
    </row>
    <row r="198" spans="1:6">
      <c r="A198" t="s">
        <v>30</v>
      </c>
      <c r="B198">
        <v>-68.694569999999999</v>
      </c>
      <c r="C198">
        <v>-74.193370000000002</v>
      </c>
      <c r="D198">
        <v>500</v>
      </c>
      <c r="E198" t="s">
        <v>7</v>
      </c>
      <c r="F198">
        <v>1</v>
      </c>
    </row>
    <row r="199" spans="1:6">
      <c r="A199" t="s">
        <v>31</v>
      </c>
      <c r="B199">
        <v>-68.271339999999995</v>
      </c>
      <c r="C199">
        <v>-75.118369999999999</v>
      </c>
      <c r="D199">
        <v>10</v>
      </c>
      <c r="E199">
        <v>0</v>
      </c>
      <c r="F199">
        <v>0</v>
      </c>
    </row>
    <row r="200" spans="1:6">
      <c r="A200" t="s">
        <v>31</v>
      </c>
      <c r="B200">
        <v>-68.271339999999995</v>
      </c>
      <c r="C200">
        <v>-75.118369999999999</v>
      </c>
      <c r="D200">
        <v>10</v>
      </c>
      <c r="E200">
        <v>0</v>
      </c>
      <c r="F200">
        <v>0</v>
      </c>
    </row>
    <row r="201" spans="1:6">
      <c r="A201" t="s">
        <v>31</v>
      </c>
      <c r="B201">
        <v>-68.271339999999995</v>
      </c>
      <c r="C201">
        <v>-75.118369999999999</v>
      </c>
      <c r="D201">
        <v>70</v>
      </c>
      <c r="E201">
        <v>8</v>
      </c>
      <c r="F201">
        <v>1</v>
      </c>
    </row>
    <row r="202" spans="1:6">
      <c r="A202" t="s">
        <v>31</v>
      </c>
      <c r="B202">
        <v>-68.271339999999995</v>
      </c>
      <c r="C202">
        <v>-75.118369999999999</v>
      </c>
      <c r="D202">
        <v>70</v>
      </c>
      <c r="E202">
        <v>7</v>
      </c>
      <c r="F202">
        <v>1</v>
      </c>
    </row>
    <row r="203" spans="1:6">
      <c r="A203" t="s">
        <v>31</v>
      </c>
      <c r="B203">
        <v>-68.271339999999995</v>
      </c>
      <c r="C203">
        <v>-75.118369999999999</v>
      </c>
      <c r="D203">
        <v>325</v>
      </c>
      <c r="E203">
        <v>2</v>
      </c>
      <c r="F203">
        <v>1</v>
      </c>
    </row>
    <row r="204" spans="1:6">
      <c r="A204" t="s">
        <v>31</v>
      </c>
      <c r="B204">
        <v>-68.271339999999995</v>
      </c>
      <c r="C204">
        <v>-75.118369999999999</v>
      </c>
      <c r="D204">
        <v>325</v>
      </c>
      <c r="E204">
        <v>2</v>
      </c>
      <c r="F204">
        <v>1</v>
      </c>
    </row>
    <row r="205" spans="1:6">
      <c r="A205" t="s">
        <v>32</v>
      </c>
      <c r="B205">
        <v>-67.715069999999997</v>
      </c>
      <c r="C205">
        <v>-76.294709999999995</v>
      </c>
      <c r="D205">
        <v>15</v>
      </c>
      <c r="E205">
        <v>0</v>
      </c>
      <c r="F205">
        <v>0</v>
      </c>
    </row>
    <row r="206" spans="1:6">
      <c r="A206" t="s">
        <v>32</v>
      </c>
      <c r="B206">
        <v>-67.715069999999997</v>
      </c>
      <c r="C206">
        <v>-76.294709999999995</v>
      </c>
      <c r="D206">
        <v>15</v>
      </c>
      <c r="E206">
        <v>0</v>
      </c>
      <c r="F206">
        <v>0</v>
      </c>
    </row>
    <row r="207" spans="1:6">
      <c r="A207" t="s">
        <v>32</v>
      </c>
      <c r="B207">
        <v>-67.715069999999997</v>
      </c>
      <c r="C207">
        <v>-76.294709999999995</v>
      </c>
      <c r="D207">
        <v>50</v>
      </c>
      <c r="E207">
        <v>2</v>
      </c>
      <c r="F207">
        <v>0</v>
      </c>
    </row>
    <row r="208" spans="1:6">
      <c r="A208" t="s">
        <v>32</v>
      </c>
      <c r="B208">
        <v>-67.715069999999997</v>
      </c>
      <c r="C208">
        <v>-76.294709999999995</v>
      </c>
      <c r="D208">
        <v>50</v>
      </c>
      <c r="E208">
        <v>2</v>
      </c>
      <c r="F208">
        <v>0</v>
      </c>
    </row>
    <row r="209" spans="1:6">
      <c r="A209" t="s">
        <v>32</v>
      </c>
      <c r="B209">
        <v>-67.715069999999997</v>
      </c>
      <c r="C209">
        <v>-76.294709999999995</v>
      </c>
      <c r="D209">
        <v>2500</v>
      </c>
      <c r="E209">
        <v>0</v>
      </c>
      <c r="F209">
        <v>0</v>
      </c>
    </row>
    <row r="210" spans="1:6">
      <c r="A210" t="s">
        <v>32</v>
      </c>
      <c r="B210">
        <v>-67.715069999999997</v>
      </c>
      <c r="C210">
        <v>-76.294709999999995</v>
      </c>
      <c r="D210">
        <v>2500</v>
      </c>
      <c r="E210">
        <v>0</v>
      </c>
      <c r="F210">
        <v>0</v>
      </c>
    </row>
    <row r="211" spans="1:6">
      <c r="A211" t="s">
        <v>33</v>
      </c>
      <c r="B211">
        <v>-68.258349999999993</v>
      </c>
      <c r="C211">
        <v>-78.202070000000006</v>
      </c>
      <c r="D211">
        <v>10</v>
      </c>
      <c r="E211">
        <v>0</v>
      </c>
      <c r="F211">
        <v>0</v>
      </c>
    </row>
    <row r="212" spans="1:6">
      <c r="A212" t="s">
        <v>33</v>
      </c>
      <c r="B212">
        <v>-68.258349999999993</v>
      </c>
      <c r="C212">
        <v>-78.202070000000006</v>
      </c>
      <c r="D212">
        <v>10</v>
      </c>
      <c r="E212">
        <v>0</v>
      </c>
      <c r="F212">
        <v>0</v>
      </c>
    </row>
    <row r="213" spans="1:6">
      <c r="A213" t="s">
        <v>33</v>
      </c>
      <c r="B213">
        <v>-68.258349999999993</v>
      </c>
      <c r="C213">
        <v>-78.202070000000006</v>
      </c>
      <c r="D213">
        <v>70</v>
      </c>
      <c r="E213">
        <v>3</v>
      </c>
      <c r="F213">
        <v>0</v>
      </c>
    </row>
    <row r="214" spans="1:6">
      <c r="A214" t="s">
        <v>33</v>
      </c>
      <c r="B214">
        <v>-68.258349999999993</v>
      </c>
      <c r="C214">
        <v>-78.202070000000006</v>
      </c>
      <c r="D214">
        <v>70</v>
      </c>
      <c r="E214">
        <v>3</v>
      </c>
      <c r="F214">
        <v>0</v>
      </c>
    </row>
    <row r="215" spans="1:6">
      <c r="A215" t="s">
        <v>33</v>
      </c>
      <c r="B215">
        <v>-68.258349999999993</v>
      </c>
      <c r="C215">
        <v>-78.202070000000006</v>
      </c>
      <c r="D215">
        <v>300</v>
      </c>
      <c r="E215">
        <v>2</v>
      </c>
      <c r="F215">
        <v>1</v>
      </c>
    </row>
    <row r="216" spans="1:6">
      <c r="A216" t="s">
        <v>33</v>
      </c>
      <c r="B216">
        <v>-68.258349999999993</v>
      </c>
      <c r="C216">
        <v>-78.202070000000006</v>
      </c>
      <c r="D216">
        <v>300</v>
      </c>
      <c r="E216">
        <v>2</v>
      </c>
      <c r="F216">
        <v>1</v>
      </c>
    </row>
    <row r="217" spans="1:6">
      <c r="A217" t="s">
        <v>33</v>
      </c>
      <c r="B217">
        <v>-68.258349999999993</v>
      </c>
      <c r="C217">
        <v>-78.202070000000006</v>
      </c>
      <c r="D217">
        <v>3001</v>
      </c>
      <c r="E217">
        <v>0</v>
      </c>
      <c r="F217">
        <v>0</v>
      </c>
    </row>
    <row r="218" spans="1:6">
      <c r="A218" t="s">
        <v>33</v>
      </c>
      <c r="B218">
        <v>-68.258349999999993</v>
      </c>
      <c r="C218">
        <v>-78.202070000000006</v>
      </c>
      <c r="D218">
        <v>3001</v>
      </c>
      <c r="E218">
        <v>0</v>
      </c>
      <c r="F218">
        <v>0</v>
      </c>
    </row>
    <row r="219" spans="1:6">
      <c r="A219" t="s">
        <v>34</v>
      </c>
      <c r="B219">
        <v>-68.824269999999999</v>
      </c>
      <c r="C219">
        <v>-77.050669999999997</v>
      </c>
      <c r="D219">
        <v>10</v>
      </c>
      <c r="E219">
        <v>-1</v>
      </c>
      <c r="F219">
        <v>0</v>
      </c>
    </row>
    <row r="220" spans="1:6">
      <c r="A220" t="s">
        <v>34</v>
      </c>
      <c r="B220">
        <v>-68.824269999999999</v>
      </c>
      <c r="C220">
        <v>-77.050669999999997</v>
      </c>
      <c r="D220">
        <v>10</v>
      </c>
      <c r="E220">
        <v>-1</v>
      </c>
      <c r="F220">
        <v>0</v>
      </c>
    </row>
    <row r="221" spans="1:6">
      <c r="A221" t="s">
        <v>34</v>
      </c>
      <c r="B221">
        <v>-68.824269999999999</v>
      </c>
      <c r="C221">
        <v>-77.050669999999997</v>
      </c>
      <c r="D221">
        <v>70</v>
      </c>
      <c r="E221">
        <v>9</v>
      </c>
      <c r="F221">
        <v>2</v>
      </c>
    </row>
    <row r="222" spans="1:6">
      <c r="A222" t="s">
        <v>34</v>
      </c>
      <c r="B222">
        <v>-68.824269999999999</v>
      </c>
      <c r="C222">
        <v>-77.050669999999997</v>
      </c>
      <c r="D222">
        <v>70</v>
      </c>
      <c r="E222">
        <v>9</v>
      </c>
      <c r="F222">
        <v>2</v>
      </c>
    </row>
    <row r="223" spans="1:6">
      <c r="A223" t="s">
        <v>34</v>
      </c>
      <c r="B223">
        <v>-68.824269999999999</v>
      </c>
      <c r="C223">
        <v>-77.050669999999997</v>
      </c>
      <c r="D223">
        <v>400</v>
      </c>
      <c r="E223">
        <v>1</v>
      </c>
      <c r="F223">
        <v>1</v>
      </c>
    </row>
    <row r="224" spans="1:6">
      <c r="A224" t="s">
        <v>34</v>
      </c>
      <c r="B224">
        <v>-68.824269999999999</v>
      </c>
      <c r="C224">
        <v>-77.050669999999997</v>
      </c>
      <c r="D224">
        <v>400</v>
      </c>
      <c r="E224">
        <v>1</v>
      </c>
      <c r="F224">
        <v>1</v>
      </c>
    </row>
    <row r="225" spans="1:6">
      <c r="A225" t="s">
        <v>35</v>
      </c>
      <c r="B225">
        <v>-69.256150000000005</v>
      </c>
      <c r="C225">
        <v>-76.152619999999999</v>
      </c>
      <c r="D225">
        <v>10</v>
      </c>
      <c r="E225">
        <v>0</v>
      </c>
      <c r="F225">
        <v>0</v>
      </c>
    </row>
    <row r="226" spans="1:6">
      <c r="A226" t="s">
        <v>35</v>
      </c>
      <c r="B226">
        <v>-69.256150000000005</v>
      </c>
      <c r="C226">
        <v>-76.152619999999999</v>
      </c>
      <c r="D226">
        <v>10</v>
      </c>
      <c r="E226">
        <v>0</v>
      </c>
      <c r="F226">
        <v>0</v>
      </c>
    </row>
    <row r="227" spans="1:6">
      <c r="A227" t="s">
        <v>35</v>
      </c>
      <c r="B227">
        <v>-69.256150000000005</v>
      </c>
      <c r="C227">
        <v>-76.152619999999999</v>
      </c>
      <c r="D227">
        <v>75</v>
      </c>
      <c r="E227">
        <v>19</v>
      </c>
      <c r="F227">
        <v>1</v>
      </c>
    </row>
    <row r="228" spans="1:6">
      <c r="A228" t="s">
        <v>35</v>
      </c>
      <c r="B228">
        <v>-69.256150000000005</v>
      </c>
      <c r="C228">
        <v>-76.152619999999999</v>
      </c>
      <c r="D228">
        <v>75</v>
      </c>
      <c r="E228">
        <v>19</v>
      </c>
      <c r="F228">
        <v>1</v>
      </c>
    </row>
    <row r="229" spans="1:6">
      <c r="A229" t="s">
        <v>35</v>
      </c>
      <c r="B229">
        <v>-69.256150000000005</v>
      </c>
      <c r="C229">
        <v>-76.152619999999999</v>
      </c>
      <c r="D229">
        <v>350</v>
      </c>
      <c r="E229">
        <v>7</v>
      </c>
      <c r="F229">
        <v>1</v>
      </c>
    </row>
    <row r="230" spans="1:6">
      <c r="A230" t="s">
        <v>35</v>
      </c>
      <c r="B230">
        <v>-69.256150000000005</v>
      </c>
      <c r="C230">
        <v>-76.152619999999999</v>
      </c>
      <c r="D230">
        <v>350</v>
      </c>
      <c r="E230">
        <v>6</v>
      </c>
      <c r="F230">
        <v>1</v>
      </c>
    </row>
    <row r="231" spans="1:6">
      <c r="A231" t="s">
        <v>36</v>
      </c>
      <c r="B231">
        <v>-67.772229999999993</v>
      </c>
      <c r="C231">
        <v>-69.945430000000002</v>
      </c>
      <c r="D231">
        <v>15</v>
      </c>
      <c r="E231">
        <v>-2</v>
      </c>
      <c r="F231">
        <v>0</v>
      </c>
    </row>
    <row r="232" spans="1:6">
      <c r="A232" t="s">
        <v>36</v>
      </c>
      <c r="B232">
        <v>-67.772229999999993</v>
      </c>
      <c r="C232">
        <v>-69.945430000000002</v>
      </c>
      <c r="D232">
        <v>15</v>
      </c>
      <c r="E232">
        <v>-2</v>
      </c>
      <c r="F232">
        <v>0</v>
      </c>
    </row>
    <row r="233" spans="1:6">
      <c r="A233" t="s">
        <v>36</v>
      </c>
      <c r="B233">
        <v>-67.772229999999993</v>
      </c>
      <c r="C233">
        <v>-69.945430000000002</v>
      </c>
      <c r="D233">
        <v>100</v>
      </c>
      <c r="E233">
        <v>-1</v>
      </c>
      <c r="F233">
        <v>0</v>
      </c>
    </row>
    <row r="234" spans="1:6">
      <c r="A234" t="s">
        <v>36</v>
      </c>
      <c r="B234">
        <v>-67.772229999999993</v>
      </c>
      <c r="C234">
        <v>-69.945430000000002</v>
      </c>
      <c r="D234">
        <v>100</v>
      </c>
      <c r="E234">
        <v>-1</v>
      </c>
      <c r="F234">
        <v>0</v>
      </c>
    </row>
    <row r="235" spans="1:6">
      <c r="A235" t="s">
        <v>36</v>
      </c>
      <c r="B235">
        <v>-67.772229999999993</v>
      </c>
      <c r="C235">
        <v>-69.945430000000002</v>
      </c>
      <c r="D235">
        <v>450</v>
      </c>
      <c r="E235">
        <v>6</v>
      </c>
      <c r="F235">
        <v>2</v>
      </c>
    </row>
    <row r="236" spans="1:6">
      <c r="A236" t="s">
        <v>36</v>
      </c>
      <c r="B236">
        <v>-67.772229999999993</v>
      </c>
      <c r="C236">
        <v>-69.945430000000002</v>
      </c>
      <c r="D236">
        <v>450</v>
      </c>
      <c r="E236">
        <v>6</v>
      </c>
      <c r="F236">
        <v>2</v>
      </c>
    </row>
    <row r="237" spans="1:6">
      <c r="A237" t="s">
        <v>37</v>
      </c>
      <c r="B237">
        <v>-68.167079999999999</v>
      </c>
      <c r="C237">
        <v>-70.002459999999999</v>
      </c>
      <c r="D237">
        <v>80</v>
      </c>
      <c r="E237">
        <v>117</v>
      </c>
      <c r="F237" t="s">
        <v>7</v>
      </c>
    </row>
    <row r="238" spans="1:6">
      <c r="A238" t="s">
        <v>37</v>
      </c>
      <c r="B238">
        <v>-68.167079999999999</v>
      </c>
      <c r="C238">
        <v>-70.002459999999999</v>
      </c>
      <c r="D238">
        <v>80</v>
      </c>
      <c r="E238">
        <v>116</v>
      </c>
      <c r="F238" t="s">
        <v>7</v>
      </c>
    </row>
    <row r="239" spans="1:6">
      <c r="A239" t="s">
        <v>37</v>
      </c>
      <c r="B239">
        <v>-68.167079999999999</v>
      </c>
      <c r="C239">
        <v>-70.002459999999999</v>
      </c>
      <c r="D239">
        <v>400</v>
      </c>
      <c r="E239">
        <v>4</v>
      </c>
      <c r="F239" t="s">
        <v>7</v>
      </c>
    </row>
    <row r="240" spans="1:6">
      <c r="A240" t="s">
        <v>37</v>
      </c>
      <c r="B240">
        <v>-68.167079999999999</v>
      </c>
      <c r="C240">
        <v>-70.002459999999999</v>
      </c>
      <c r="D240">
        <v>400</v>
      </c>
      <c r="E240">
        <v>4</v>
      </c>
      <c r="F240" t="s">
        <v>7</v>
      </c>
    </row>
    <row r="241" spans="1:6">
      <c r="A241" t="s">
        <v>38</v>
      </c>
      <c r="B241">
        <v>-68.40607</v>
      </c>
      <c r="C241">
        <v>-70.006919999999994</v>
      </c>
      <c r="D241">
        <v>80</v>
      </c>
      <c r="E241">
        <v>158</v>
      </c>
      <c r="F241" t="s">
        <v>7</v>
      </c>
    </row>
    <row r="242" spans="1:6">
      <c r="A242" t="s">
        <v>38</v>
      </c>
      <c r="B242">
        <v>-68.40607</v>
      </c>
      <c r="C242">
        <v>-70.006919999999994</v>
      </c>
      <c r="D242">
        <v>80</v>
      </c>
      <c r="E242">
        <v>140</v>
      </c>
      <c r="F242" t="s">
        <v>7</v>
      </c>
    </row>
    <row r="243" spans="1:6">
      <c r="A243" t="s">
        <v>38</v>
      </c>
      <c r="B243">
        <v>-68.40607</v>
      </c>
      <c r="C243">
        <v>-70.006919999999994</v>
      </c>
      <c r="D243">
        <v>550</v>
      </c>
      <c r="E243">
        <v>16</v>
      </c>
      <c r="F243" t="s">
        <v>7</v>
      </c>
    </row>
    <row r="244" spans="1:6">
      <c r="A244" t="s">
        <v>38</v>
      </c>
      <c r="B244">
        <v>-68.40607</v>
      </c>
      <c r="C244">
        <v>-70.006919999999994</v>
      </c>
      <c r="D244">
        <v>550</v>
      </c>
      <c r="E244">
        <v>16</v>
      </c>
      <c r="F244" t="s">
        <v>7</v>
      </c>
    </row>
    <row r="245" spans="1:6">
      <c r="A245" t="s">
        <v>39</v>
      </c>
      <c r="B245">
        <v>-68.459019999999995</v>
      </c>
      <c r="C245">
        <v>-70.659819999999996</v>
      </c>
      <c r="D245">
        <v>70</v>
      </c>
      <c r="E245">
        <v>10</v>
      </c>
      <c r="F245">
        <v>3</v>
      </c>
    </row>
    <row r="246" spans="1:6">
      <c r="A246" t="s">
        <v>39</v>
      </c>
      <c r="B246">
        <v>-68.459019999999995</v>
      </c>
      <c r="C246">
        <v>-70.659819999999996</v>
      </c>
      <c r="D246">
        <v>70</v>
      </c>
      <c r="E246">
        <v>10</v>
      </c>
      <c r="F246">
        <v>3</v>
      </c>
    </row>
    <row r="247" spans="1:6">
      <c r="A247" t="s">
        <v>39</v>
      </c>
      <c r="B247">
        <v>-68.459019999999995</v>
      </c>
      <c r="C247">
        <v>-70.659819999999996</v>
      </c>
      <c r="D247">
        <v>550</v>
      </c>
      <c r="E247">
        <v>5</v>
      </c>
      <c r="F247">
        <v>2</v>
      </c>
    </row>
    <row r="248" spans="1:6">
      <c r="A248" t="s">
        <v>39</v>
      </c>
      <c r="B248">
        <v>-68.459019999999995</v>
      </c>
      <c r="C248">
        <v>-70.659819999999996</v>
      </c>
      <c r="D248">
        <v>550</v>
      </c>
      <c r="E248">
        <v>5</v>
      </c>
      <c r="F248">
        <v>2</v>
      </c>
    </row>
    <row r="249" spans="1:6">
      <c r="A249" t="s">
        <v>40</v>
      </c>
      <c r="B249">
        <v>-68.551190000000005</v>
      </c>
      <c r="C249">
        <v>-70.183570000000003</v>
      </c>
      <c r="D249">
        <v>80</v>
      </c>
      <c r="E249">
        <v>33</v>
      </c>
      <c r="F249">
        <v>3</v>
      </c>
    </row>
    <row r="250" spans="1:6">
      <c r="A250" t="s">
        <v>40</v>
      </c>
      <c r="B250">
        <v>-68.551190000000005</v>
      </c>
      <c r="C250">
        <v>-70.183570000000003</v>
      </c>
      <c r="D250">
        <v>80</v>
      </c>
      <c r="E250">
        <v>29</v>
      </c>
      <c r="F250">
        <v>3</v>
      </c>
    </row>
    <row r="251" spans="1:6">
      <c r="A251" t="s">
        <v>40</v>
      </c>
      <c r="B251">
        <v>-68.551190000000005</v>
      </c>
      <c r="C251">
        <v>-70.183570000000003</v>
      </c>
      <c r="D251">
        <v>440</v>
      </c>
      <c r="E251">
        <v>3</v>
      </c>
      <c r="F251">
        <v>1</v>
      </c>
    </row>
    <row r="252" spans="1:6">
      <c r="A252" t="s">
        <v>40</v>
      </c>
      <c r="B252">
        <v>-68.551190000000005</v>
      </c>
      <c r="C252">
        <v>-70.183570000000003</v>
      </c>
      <c r="D252">
        <v>440</v>
      </c>
      <c r="E252">
        <v>3</v>
      </c>
      <c r="F252">
        <v>1</v>
      </c>
    </row>
    <row r="253" spans="1:6">
      <c r="A253" t="s">
        <v>41</v>
      </c>
      <c r="B253">
        <v>-66.410039999999995</v>
      </c>
      <c r="C253">
        <v>-71.345420000000004</v>
      </c>
      <c r="D253">
        <v>80</v>
      </c>
      <c r="E253">
        <v>17</v>
      </c>
      <c r="F253">
        <v>4</v>
      </c>
    </row>
    <row r="254" spans="1:6">
      <c r="A254" t="s">
        <v>41</v>
      </c>
      <c r="B254">
        <v>-66.410039999999995</v>
      </c>
      <c r="C254">
        <v>-71.345420000000004</v>
      </c>
      <c r="D254">
        <v>80</v>
      </c>
      <c r="E254">
        <v>17</v>
      </c>
      <c r="F254">
        <v>4</v>
      </c>
    </row>
    <row r="255" spans="1:6">
      <c r="A255" t="s">
        <v>41</v>
      </c>
      <c r="B255">
        <v>-66.410039999999995</v>
      </c>
      <c r="C255">
        <v>-71.345420000000004</v>
      </c>
      <c r="D255">
        <v>400</v>
      </c>
      <c r="E255">
        <v>2</v>
      </c>
      <c r="F255">
        <v>1</v>
      </c>
    </row>
    <row r="256" spans="1:6">
      <c r="A256" t="s">
        <v>41</v>
      </c>
      <c r="B256">
        <v>-66.410039999999995</v>
      </c>
      <c r="C256">
        <v>-71.345420000000004</v>
      </c>
      <c r="D256">
        <v>400</v>
      </c>
      <c r="E256">
        <v>1</v>
      </c>
      <c r="F256">
        <v>1</v>
      </c>
    </row>
    <row r="257" spans="1:6">
      <c r="A257" t="s">
        <v>42</v>
      </c>
      <c r="B257">
        <v>-64.511769999999999</v>
      </c>
      <c r="C257">
        <v>-66.084699999999998</v>
      </c>
      <c r="D257">
        <v>70</v>
      </c>
      <c r="E257">
        <v>20</v>
      </c>
      <c r="F257">
        <v>7</v>
      </c>
    </row>
    <row r="258" spans="1:6">
      <c r="A258" t="s">
        <v>42</v>
      </c>
      <c r="B258">
        <v>-64.511769999999999</v>
      </c>
      <c r="C258">
        <v>-66.084699999999998</v>
      </c>
      <c r="D258">
        <v>70</v>
      </c>
      <c r="E258">
        <v>20</v>
      </c>
      <c r="F258">
        <v>7</v>
      </c>
    </row>
    <row r="259" spans="1:6">
      <c r="A259" t="s">
        <v>42</v>
      </c>
      <c r="B259">
        <v>-64.511769999999999</v>
      </c>
      <c r="C259">
        <v>-66.084699999999998</v>
      </c>
      <c r="D259">
        <v>325</v>
      </c>
      <c r="E259">
        <v>3</v>
      </c>
      <c r="F259">
        <v>3</v>
      </c>
    </row>
    <row r="260" spans="1:6">
      <c r="A260" t="s">
        <v>42</v>
      </c>
      <c r="B260">
        <v>-64.511769999999999</v>
      </c>
      <c r="C260">
        <v>-66.084699999999998</v>
      </c>
      <c r="D260">
        <v>325</v>
      </c>
      <c r="E260">
        <v>3</v>
      </c>
      <c r="F260">
        <v>3</v>
      </c>
    </row>
    <row r="261" spans="1:6">
      <c r="A261" t="s">
        <v>43</v>
      </c>
      <c r="B261">
        <v>-64.933940000000007</v>
      </c>
      <c r="C261">
        <v>-64.391469999999998</v>
      </c>
      <c r="D261">
        <v>75</v>
      </c>
      <c r="E261">
        <v>6</v>
      </c>
      <c r="F261" t="s">
        <v>7</v>
      </c>
    </row>
    <row r="262" spans="1:6">
      <c r="A262" t="s">
        <v>43</v>
      </c>
      <c r="B262">
        <v>-64.933940000000007</v>
      </c>
      <c r="C262">
        <v>-64.391469999999998</v>
      </c>
      <c r="D262">
        <v>75</v>
      </c>
      <c r="E262">
        <v>6</v>
      </c>
      <c r="F262" t="s">
        <v>7</v>
      </c>
    </row>
    <row r="263" spans="1:6">
      <c r="A263" t="s">
        <v>43</v>
      </c>
      <c r="B263">
        <v>-64.933940000000007</v>
      </c>
      <c r="C263">
        <v>-64.391469999999998</v>
      </c>
      <c r="D263">
        <v>600</v>
      </c>
      <c r="E263">
        <v>6</v>
      </c>
      <c r="F263" t="s">
        <v>7</v>
      </c>
    </row>
    <row r="264" spans="1:6">
      <c r="A264" t="s">
        <v>43</v>
      </c>
      <c r="B264">
        <v>-64.933940000000007</v>
      </c>
      <c r="C264">
        <v>-64.391469999999998</v>
      </c>
      <c r="D264">
        <v>600</v>
      </c>
      <c r="E264">
        <v>6</v>
      </c>
      <c r="F264" t="s">
        <v>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228C-39C8-7344-A079-877EFF629F35}">
  <dimension ref="A1:Q792"/>
  <sheetViews>
    <sheetView zoomScale="75" workbookViewId="0">
      <pane ySplit="1" topLeftCell="A666" activePane="bottomLeft" state="frozen"/>
      <selection pane="bottomLeft" activeCellId="1" sqref="A690:XFD713 A1:XFD1"/>
    </sheetView>
  </sheetViews>
  <sheetFormatPr baseColWidth="10" defaultRowHeight="20"/>
  <cols>
    <col min="1" max="1" width="20.85546875" style="1" bestFit="1" customWidth="1"/>
    <col min="2" max="2" width="12.42578125" bestFit="1" customWidth="1"/>
    <col min="3" max="3" width="13.7109375" bestFit="1" customWidth="1"/>
    <col min="4" max="4" width="10.5703125" bestFit="1" customWidth="1"/>
    <col min="5" max="5" width="24.42578125" bestFit="1" customWidth="1"/>
    <col min="6" max="6" width="24.85546875" bestFit="1" customWidth="1"/>
    <col min="7" max="8" width="24.85546875" customWidth="1"/>
    <col min="9" max="9" width="24.85546875" style="11" customWidth="1"/>
    <col min="10" max="11" width="24.85546875" style="9" customWidth="1"/>
    <col min="12" max="12" width="25.42578125" style="6" bestFit="1" customWidth="1"/>
    <col min="13" max="13" width="25.5703125" style="7" bestFit="1" customWidth="1"/>
    <col min="14" max="14" width="25.5703125" style="7" customWidth="1"/>
    <col min="15" max="15" width="11.28515625" customWidth="1"/>
    <col min="16" max="16" width="56.85546875" bestFit="1" customWidth="1"/>
  </cols>
  <sheetData>
    <row r="1" spans="1:16">
      <c r="A1" s="1" t="s">
        <v>419</v>
      </c>
      <c r="B1" t="s">
        <v>4</v>
      </c>
      <c r="C1" t="s">
        <v>5</v>
      </c>
      <c r="D1" t="s">
        <v>383</v>
      </c>
      <c r="E1" t="s">
        <v>380</v>
      </c>
      <c r="F1" t="s">
        <v>381</v>
      </c>
      <c r="G1" t="s">
        <v>382</v>
      </c>
      <c r="H1" t="s">
        <v>50</v>
      </c>
      <c r="I1" s="10" t="s">
        <v>53</v>
      </c>
      <c r="J1" s="8" t="s">
        <v>52</v>
      </c>
      <c r="K1" s="8" t="s">
        <v>421</v>
      </c>
      <c r="L1" s="6" t="s">
        <v>8</v>
      </c>
      <c r="M1" s="7" t="s">
        <v>9</v>
      </c>
      <c r="N1" s="7" t="s">
        <v>375</v>
      </c>
    </row>
    <row r="2" spans="1:16">
      <c r="A2" s="1">
        <v>40420</v>
      </c>
      <c r="B2">
        <v>71.355999999999995</v>
      </c>
      <c r="C2">
        <v>-156.68600000000001</v>
      </c>
      <c r="D2">
        <v>4</v>
      </c>
      <c r="E2">
        <v>6.3899999999999998E-3</v>
      </c>
      <c r="F2">
        <v>2.1800000000000001E-3</v>
      </c>
      <c r="G2">
        <v>1.9000000000000001E-4</v>
      </c>
      <c r="H2" s="12">
        <f>IFERROR(LOG10(J2/I2),"")</f>
        <v>-0.35904109776271653</v>
      </c>
      <c r="I2" s="10">
        <v>3.2390000000000002E-2</v>
      </c>
      <c r="J2" s="8">
        <v>1.417E-2</v>
      </c>
      <c r="K2">
        <v>2.3439999999999999E-2</v>
      </c>
      <c r="L2" s="6">
        <v>3.2390000000000002E-2</v>
      </c>
      <c r="M2" s="7">
        <v>1.417E-2</v>
      </c>
      <c r="N2">
        <v>2.3439999999999999E-2</v>
      </c>
      <c r="O2" s="2" t="s">
        <v>46</v>
      </c>
      <c r="P2" s="2" t="s">
        <v>45</v>
      </c>
    </row>
    <row r="3" spans="1:16">
      <c r="A3" s="1">
        <v>40420</v>
      </c>
      <c r="B3">
        <v>71.355999999999995</v>
      </c>
      <c r="C3">
        <v>-156.68600000000001</v>
      </c>
      <c r="D3">
        <v>4</v>
      </c>
      <c r="E3">
        <v>7.0400000000000003E-3</v>
      </c>
      <c r="F3">
        <v>2.1800000000000001E-3</v>
      </c>
      <c r="G3" t="s">
        <v>7</v>
      </c>
      <c r="H3" s="12">
        <f>IFERROR(LOG10(J3/I3),"")</f>
        <v>-0.40743100106102825</v>
      </c>
      <c r="I3" s="10">
        <v>4.4409999999999998E-2</v>
      </c>
      <c r="J3" s="8">
        <v>1.738E-2</v>
      </c>
      <c r="K3">
        <v>2.9080000000000002E-2</v>
      </c>
      <c r="L3" s="6">
        <v>4.4409999999999998E-2</v>
      </c>
      <c r="M3" s="7">
        <v>1.738E-2</v>
      </c>
      <c r="N3">
        <v>2.9080000000000002E-2</v>
      </c>
      <c r="O3" s="2" t="s">
        <v>46</v>
      </c>
      <c r="P3" s="2" t="s">
        <v>45</v>
      </c>
    </row>
    <row r="4" spans="1:16">
      <c r="A4" s="1">
        <v>40420</v>
      </c>
      <c r="B4">
        <v>71.355999999999995</v>
      </c>
      <c r="C4">
        <v>-156.68600000000001</v>
      </c>
      <c r="D4">
        <v>4</v>
      </c>
      <c r="G4" t="s">
        <v>7</v>
      </c>
      <c r="H4" s="12">
        <f>IFERROR(LOG10(J4/I4),"")</f>
        <v>-0.57475448934681472</v>
      </c>
      <c r="I4" s="10">
        <v>1.2019999999999999E-2</v>
      </c>
      <c r="J4" s="8">
        <v>3.2000000000000002E-3</v>
      </c>
      <c r="K4">
        <v>5.64E-3</v>
      </c>
      <c r="L4" s="6">
        <v>1.2019999999999999E-2</v>
      </c>
      <c r="M4" s="7">
        <v>3.2000000000000002E-3</v>
      </c>
      <c r="N4">
        <v>5.64E-3</v>
      </c>
      <c r="O4" s="2" t="s">
        <v>46</v>
      </c>
      <c r="P4" s="2" t="s">
        <v>45</v>
      </c>
    </row>
    <row r="5" spans="1:16">
      <c r="A5" s="1">
        <v>40573</v>
      </c>
      <c r="B5">
        <v>71.337000000000003</v>
      </c>
      <c r="C5">
        <v>-156.69</v>
      </c>
      <c r="D5">
        <v>2</v>
      </c>
      <c r="E5">
        <v>3.1E-4</v>
      </c>
      <c r="F5">
        <v>2.0000000000000002E-5</v>
      </c>
      <c r="G5">
        <v>0</v>
      </c>
      <c r="H5" s="12">
        <f>IFERROR(LOG10(J5/I5),"")</f>
        <v>-1.3617278360175928</v>
      </c>
      <c r="I5" s="10">
        <v>2.3000000000000001E-4</v>
      </c>
      <c r="J5" s="8">
        <v>1.0000000000000001E-5</v>
      </c>
      <c r="K5">
        <v>2.0000000000000002E-5</v>
      </c>
      <c r="L5" s="6">
        <v>2.3000000000000001E-4</v>
      </c>
      <c r="M5" s="7">
        <v>1.0000000000000001E-5</v>
      </c>
      <c r="N5">
        <v>2.0000000000000002E-5</v>
      </c>
      <c r="O5" s="2" t="s">
        <v>46</v>
      </c>
      <c r="P5" s="2" t="s">
        <v>45</v>
      </c>
    </row>
    <row r="6" spans="1:16">
      <c r="A6" s="1">
        <v>40573</v>
      </c>
      <c r="B6">
        <v>71.337000000000003</v>
      </c>
      <c r="C6">
        <v>-156.69</v>
      </c>
      <c r="D6">
        <v>2</v>
      </c>
      <c r="E6">
        <v>5.5999999999999995E-4</v>
      </c>
      <c r="F6">
        <v>5.0000000000000002E-5</v>
      </c>
      <c r="G6">
        <v>0</v>
      </c>
      <c r="H6" s="12">
        <f>IFERROR(LOG10(J6/I6),"")</f>
        <v>-0.95424250943932487</v>
      </c>
      <c r="I6" s="10">
        <v>3.6000000000000002E-4</v>
      </c>
      <c r="J6" s="8">
        <v>4.0000000000000003E-5</v>
      </c>
      <c r="K6">
        <v>1.2999999999999999E-4</v>
      </c>
      <c r="L6" s="6">
        <v>3.6000000000000002E-4</v>
      </c>
      <c r="M6" s="7">
        <v>4.0000000000000003E-5</v>
      </c>
      <c r="N6">
        <v>1.2999999999999999E-4</v>
      </c>
      <c r="O6" s="2" t="s">
        <v>46</v>
      </c>
      <c r="P6" s="2" t="s">
        <v>45</v>
      </c>
    </row>
    <row r="7" spans="1:16">
      <c r="A7" s="1">
        <v>40573</v>
      </c>
      <c r="B7">
        <v>71.337000000000003</v>
      </c>
      <c r="C7">
        <v>-156.69</v>
      </c>
      <c r="D7">
        <v>2</v>
      </c>
      <c r="G7" t="s">
        <v>7</v>
      </c>
      <c r="H7" s="12">
        <f>IFERROR(LOG10(J7/I7),"")</f>
        <v>-0.81291335664285547</v>
      </c>
      <c r="I7" s="10">
        <v>1.2999999999999999E-4</v>
      </c>
      <c r="J7" s="8">
        <v>2.0000000000000002E-5</v>
      </c>
      <c r="K7">
        <v>1.1E-4</v>
      </c>
      <c r="L7" s="6">
        <v>1.2999999999999999E-4</v>
      </c>
      <c r="M7" s="7">
        <v>2.0000000000000002E-5</v>
      </c>
      <c r="N7">
        <v>1.1E-4</v>
      </c>
      <c r="O7" s="2" t="s">
        <v>46</v>
      </c>
      <c r="P7" s="2" t="s">
        <v>45</v>
      </c>
    </row>
    <row r="8" spans="1:16">
      <c r="A8" s="1">
        <v>40658</v>
      </c>
      <c r="B8">
        <v>71.302000000000007</v>
      </c>
      <c r="C8">
        <v>-156.721</v>
      </c>
      <c r="D8">
        <v>6.5</v>
      </c>
      <c r="E8">
        <v>2.2000000000000001E-4</v>
      </c>
      <c r="F8">
        <v>3.0000000000000001E-5</v>
      </c>
      <c r="G8">
        <v>1.0000000000000001E-5</v>
      </c>
      <c r="H8" s="12">
        <f>IFERROR(LOG10(J8/I8),"")</f>
        <v>-0.84509804001425681</v>
      </c>
      <c r="I8" s="10">
        <v>6.9999999999999994E-5</v>
      </c>
      <c r="J8" s="8">
        <v>1.0000000000000001E-5</v>
      </c>
      <c r="K8">
        <v>2.0000000000000002E-5</v>
      </c>
      <c r="L8" s="6">
        <v>6.9999999999999994E-5</v>
      </c>
      <c r="M8" s="7">
        <v>1.0000000000000001E-5</v>
      </c>
      <c r="N8">
        <v>2.0000000000000002E-5</v>
      </c>
      <c r="O8" s="2" t="s">
        <v>46</v>
      </c>
      <c r="P8" s="2" t="s">
        <v>45</v>
      </c>
    </row>
    <row r="9" spans="1:16">
      <c r="A9" s="1">
        <v>40658</v>
      </c>
      <c r="B9">
        <v>71.302000000000007</v>
      </c>
      <c r="C9">
        <v>-156.721</v>
      </c>
      <c r="D9">
        <v>6.5</v>
      </c>
      <c r="E9">
        <v>8.3000000000000001E-4</v>
      </c>
      <c r="F9">
        <v>1.1E-4</v>
      </c>
      <c r="G9">
        <v>3.0000000000000001E-5</v>
      </c>
      <c r="H9" s="12">
        <f>IFERROR(LOG10(J9/I9),"")</f>
        <v>-0.82930377283102485</v>
      </c>
      <c r="I9" s="10">
        <v>2.7E-4</v>
      </c>
      <c r="J9" s="8">
        <v>4.0000000000000003E-5</v>
      </c>
      <c r="K9">
        <v>1.2999999999999999E-4</v>
      </c>
      <c r="L9" s="6">
        <v>2.7E-4</v>
      </c>
      <c r="M9" s="7">
        <v>4.0000000000000003E-5</v>
      </c>
      <c r="N9">
        <v>1.2999999999999999E-4</v>
      </c>
      <c r="O9" s="2" t="s">
        <v>46</v>
      </c>
      <c r="P9" s="2" t="s">
        <v>45</v>
      </c>
    </row>
    <row r="10" spans="1:16">
      <c r="A10" s="1">
        <v>40658</v>
      </c>
      <c r="B10">
        <v>71.302000000000007</v>
      </c>
      <c r="C10">
        <v>-156.721</v>
      </c>
      <c r="D10">
        <v>6.5</v>
      </c>
      <c r="G10" t="s">
        <v>7</v>
      </c>
      <c r="H10" s="12">
        <f>IFERROR(LOG10(J10/I10),"")</f>
        <v>-0.82390874094431876</v>
      </c>
      <c r="I10" s="10">
        <v>2.0000000000000001E-4</v>
      </c>
      <c r="J10" s="8">
        <v>3.0000000000000001E-5</v>
      </c>
      <c r="K10">
        <v>1E-4</v>
      </c>
      <c r="L10" s="6">
        <v>2.0000000000000001E-4</v>
      </c>
      <c r="M10" s="7">
        <v>3.0000000000000001E-5</v>
      </c>
      <c r="N10">
        <v>1E-4</v>
      </c>
      <c r="O10" s="2" t="s">
        <v>46</v>
      </c>
      <c r="P10" s="2" t="s">
        <v>45</v>
      </c>
    </row>
    <row r="11" spans="1:16">
      <c r="A11" s="1">
        <v>40776</v>
      </c>
      <c r="B11">
        <v>71.355999999999995</v>
      </c>
      <c r="C11">
        <v>-156.68600000000001</v>
      </c>
      <c r="D11">
        <v>8</v>
      </c>
      <c r="E11">
        <v>2.7699999999999999E-3</v>
      </c>
      <c r="F11">
        <v>5.1000000000000004E-4</v>
      </c>
      <c r="G11">
        <v>3.6000000000000002E-4</v>
      </c>
      <c r="H11" s="12">
        <f>IFERROR(LOG10(J11/I11),"")</f>
        <v>-0.6538229066824337</v>
      </c>
      <c r="I11" s="10">
        <v>3.5599999999999998E-3</v>
      </c>
      <c r="J11" s="8">
        <v>7.9000000000000001E-4</v>
      </c>
      <c r="K11">
        <v>6.4999999999999997E-4</v>
      </c>
      <c r="L11" s="6">
        <v>3.5599999999999998E-3</v>
      </c>
      <c r="M11" s="7">
        <v>7.9000000000000001E-4</v>
      </c>
      <c r="N11">
        <v>6.4999999999999997E-4</v>
      </c>
      <c r="O11" s="2" t="s">
        <v>46</v>
      </c>
      <c r="P11" s="2" t="s">
        <v>45</v>
      </c>
    </row>
    <row r="12" spans="1:16">
      <c r="A12" s="1">
        <v>40776</v>
      </c>
      <c r="B12">
        <v>71.355999999999995</v>
      </c>
      <c r="C12">
        <v>-156.68600000000001</v>
      </c>
      <c r="D12">
        <v>8</v>
      </c>
      <c r="E12">
        <v>2.9199999999999999E-3</v>
      </c>
      <c r="F12">
        <v>5.0000000000000001E-4</v>
      </c>
      <c r="G12">
        <v>3.5E-4</v>
      </c>
      <c r="H12" s="12">
        <f>IFERROR(LOG10(J12/I12),"")</f>
        <v>-0.68741184364129959</v>
      </c>
      <c r="I12" s="10">
        <v>4.8199999999999996E-3</v>
      </c>
      <c r="J12" s="8">
        <v>9.8999999999999999E-4</v>
      </c>
      <c r="K12">
        <v>8.1999999999999998E-4</v>
      </c>
      <c r="L12" s="6">
        <v>4.8199999999999996E-3</v>
      </c>
      <c r="M12" s="7">
        <v>9.8999999999999999E-4</v>
      </c>
      <c r="N12">
        <v>8.1999999999999998E-4</v>
      </c>
      <c r="O12" s="2" t="s">
        <v>46</v>
      </c>
      <c r="P12" s="2" t="s">
        <v>45</v>
      </c>
    </row>
    <row r="13" spans="1:16">
      <c r="A13" s="1">
        <v>40776</v>
      </c>
      <c r="B13">
        <v>71.355999999999995</v>
      </c>
      <c r="C13">
        <v>-156.68600000000001</v>
      </c>
      <c r="D13">
        <v>8</v>
      </c>
      <c r="G13" t="s">
        <v>7</v>
      </c>
      <c r="H13" s="12">
        <f>IFERROR(LOG10(J13/I13),"")</f>
        <v>-0.79934054945358168</v>
      </c>
      <c r="I13" s="10">
        <v>1.2600000000000001E-3</v>
      </c>
      <c r="J13" s="8">
        <v>2.0000000000000001E-4</v>
      </c>
      <c r="K13">
        <v>1.7000000000000001E-4</v>
      </c>
      <c r="L13" s="6">
        <v>1.2600000000000001E-3</v>
      </c>
      <c r="M13" s="7">
        <v>2.0000000000000001E-4</v>
      </c>
      <c r="N13">
        <v>1.7000000000000001E-4</v>
      </c>
      <c r="O13" s="2" t="s">
        <v>46</v>
      </c>
      <c r="P13" s="2" t="s">
        <v>45</v>
      </c>
    </row>
    <row r="14" spans="1:16">
      <c r="A14" s="1">
        <v>40927</v>
      </c>
      <c r="B14">
        <v>71.37</v>
      </c>
      <c r="C14">
        <v>-156.57599999999999</v>
      </c>
      <c r="D14">
        <v>1</v>
      </c>
      <c r="E14">
        <v>6.9999999999999994E-5</v>
      </c>
      <c r="F14">
        <v>1.0000000000000001E-5</v>
      </c>
      <c r="G14">
        <v>1.0000000000000001E-5</v>
      </c>
      <c r="H14" s="12">
        <f>IFERROR(LOG10(J14/I14),"")</f>
        <v>-0.77815125038364363</v>
      </c>
      <c r="I14" s="10">
        <v>6.0000000000000002E-5</v>
      </c>
      <c r="J14" s="8">
        <v>1.0000000000000001E-5</v>
      </c>
      <c r="K14">
        <v>6.0000000000000002E-5</v>
      </c>
      <c r="L14" s="6">
        <v>6.0000000000000002E-5</v>
      </c>
      <c r="M14" s="7">
        <v>1.0000000000000001E-5</v>
      </c>
      <c r="N14">
        <v>6.0000000000000002E-5</v>
      </c>
      <c r="O14" s="2" t="s">
        <v>46</v>
      </c>
      <c r="P14" s="2" t="s">
        <v>45</v>
      </c>
    </row>
    <row r="15" spans="1:16">
      <c r="A15" s="1">
        <v>40927</v>
      </c>
      <c r="B15">
        <v>71.37</v>
      </c>
      <c r="C15">
        <v>-156.57599999999999</v>
      </c>
      <c r="D15">
        <v>1</v>
      </c>
      <c r="E15">
        <v>4.2000000000000002E-4</v>
      </c>
      <c r="F15">
        <v>2.0000000000000002E-5</v>
      </c>
      <c r="G15">
        <v>9.0000000000000006E-5</v>
      </c>
      <c r="H15" s="12">
        <f>IFERROR(LOG10(J15/I15),"")</f>
        <v>-1.2041199826559248</v>
      </c>
      <c r="I15" s="10">
        <v>1.6000000000000001E-4</v>
      </c>
      <c r="J15" s="8">
        <v>1.0000000000000001E-5</v>
      </c>
      <c r="K15">
        <v>1.3999999999999999E-4</v>
      </c>
      <c r="L15" s="6">
        <v>1.6000000000000001E-4</v>
      </c>
      <c r="M15" s="7">
        <v>1.0000000000000001E-5</v>
      </c>
      <c r="N15">
        <v>1.3999999999999999E-4</v>
      </c>
      <c r="O15" s="2" t="s">
        <v>46</v>
      </c>
      <c r="P15" s="2" t="s">
        <v>45</v>
      </c>
    </row>
    <row r="16" spans="1:16">
      <c r="A16" s="1">
        <v>40927</v>
      </c>
      <c r="B16">
        <v>71.37</v>
      </c>
      <c r="C16">
        <v>-156.57599999999999</v>
      </c>
      <c r="D16">
        <v>1</v>
      </c>
      <c r="G16" t="s">
        <v>7</v>
      </c>
      <c r="H16" s="12" t="str">
        <f>IFERROR(LOG10(J16/I16),"")</f>
        <v/>
      </c>
      <c r="I16" s="10">
        <v>1E-4</v>
      </c>
      <c r="J16" s="8">
        <v>0</v>
      </c>
      <c r="K16">
        <v>6.9999999999999994E-5</v>
      </c>
      <c r="L16" s="6">
        <v>1E-4</v>
      </c>
      <c r="M16" s="7">
        <v>0</v>
      </c>
      <c r="N16">
        <v>6.9999999999999994E-5</v>
      </c>
      <c r="O16" s="2" t="s">
        <v>46</v>
      </c>
      <c r="P16" s="2" t="s">
        <v>45</v>
      </c>
    </row>
    <row r="17" spans="1:16">
      <c r="A17" s="1">
        <v>42589</v>
      </c>
      <c r="B17">
        <v>37.667999999999999</v>
      </c>
      <c r="C17">
        <v>-73.998999999999995</v>
      </c>
      <c r="D17">
        <v>0.4</v>
      </c>
      <c r="E17">
        <v>2.5176108999999999E-2</v>
      </c>
      <c r="F17">
        <v>0.108682397</v>
      </c>
      <c r="G17">
        <v>0.115477047</v>
      </c>
      <c r="H17" s="12">
        <f>IFERROR(LOG10(J17/I17),"")</f>
        <v>0.6351705916381295</v>
      </c>
      <c r="I17" s="10">
        <v>2.2002140999999999E-2</v>
      </c>
      <c r="J17" s="8">
        <v>9.4980736999999996E-2</v>
      </c>
      <c r="K17">
        <v>0.100918782</v>
      </c>
      <c r="L17" s="6">
        <v>2.2002140999999999E-2</v>
      </c>
      <c r="M17" s="7">
        <v>9.4980736999999996E-2</v>
      </c>
      <c r="N17">
        <v>0.100918782</v>
      </c>
      <c r="O17" s="2" t="s">
        <v>46</v>
      </c>
      <c r="P17" s="2" t="s">
        <v>45</v>
      </c>
    </row>
    <row r="18" spans="1:16">
      <c r="A18" s="1">
        <v>42589</v>
      </c>
      <c r="B18">
        <v>37.667999999999999</v>
      </c>
      <c r="C18">
        <v>-73.998999999999995</v>
      </c>
      <c r="D18">
        <v>35.5</v>
      </c>
      <c r="E18">
        <v>6.1807310000000001E-3</v>
      </c>
      <c r="F18">
        <v>3.9863056000000001E-2</v>
      </c>
      <c r="G18">
        <v>7.6045793E-2</v>
      </c>
      <c r="H18" s="12">
        <f>IFERROR(LOG10(J18/I18),"")</f>
        <v>0.80953073698626332</v>
      </c>
      <c r="I18" s="10">
        <v>8.416013E-3</v>
      </c>
      <c r="J18" s="8">
        <v>5.4279661999999999E-2</v>
      </c>
      <c r="K18">
        <v>0.103548004</v>
      </c>
      <c r="L18" s="6">
        <v>8.416013E-3</v>
      </c>
      <c r="M18" s="7">
        <v>5.4279661999999999E-2</v>
      </c>
      <c r="N18">
        <v>0.103548004</v>
      </c>
      <c r="O18" s="2" t="s">
        <v>46</v>
      </c>
      <c r="P18" s="2" t="s">
        <v>45</v>
      </c>
    </row>
    <row r="19" spans="1:16">
      <c r="A19" s="1">
        <v>42589</v>
      </c>
      <c r="B19">
        <v>37.667999999999999</v>
      </c>
      <c r="C19">
        <v>-73.998999999999995</v>
      </c>
      <c r="D19">
        <v>49.4</v>
      </c>
      <c r="E19">
        <v>6.5271879999999997E-3</v>
      </c>
      <c r="F19">
        <v>3.8830128999999998E-2</v>
      </c>
      <c r="G19">
        <v>0.267133334</v>
      </c>
      <c r="H19" s="12">
        <f>IFERROR(LOG10(J19/I19),"")</f>
        <v>0.7744427496495937</v>
      </c>
      <c r="I19" s="10">
        <v>5.1427080000000002E-3</v>
      </c>
      <c r="J19" s="8">
        <v>3.0593883999999998E-2</v>
      </c>
      <c r="K19">
        <v>0.210471778</v>
      </c>
      <c r="L19" s="6">
        <v>5.1427080000000002E-3</v>
      </c>
      <c r="M19" s="7">
        <v>3.0593883999999998E-2</v>
      </c>
      <c r="N19">
        <v>0.210471778</v>
      </c>
      <c r="O19" s="2" t="s">
        <v>46</v>
      </c>
      <c r="P19" s="2" t="s">
        <v>45</v>
      </c>
    </row>
    <row r="20" spans="1:16">
      <c r="A20" s="1">
        <v>42589</v>
      </c>
      <c r="B20">
        <v>37.664999999999999</v>
      </c>
      <c r="C20">
        <v>-74.782799999999995</v>
      </c>
      <c r="D20">
        <v>24</v>
      </c>
      <c r="E20">
        <v>2.8741769999999999E-3</v>
      </c>
      <c r="F20">
        <v>4.9049626999999998E-2</v>
      </c>
      <c r="G20">
        <v>2.8892681999999999E-2</v>
      </c>
      <c r="H20" s="12">
        <f>IFERROR(LOG10(J20/I20),"")</f>
        <v>1.2321222183948877</v>
      </c>
      <c r="I20" s="10">
        <v>1.5716732000000001E-2</v>
      </c>
      <c r="J20" s="8">
        <v>0.268215867</v>
      </c>
      <c r="K20">
        <v>0.15799255200000001</v>
      </c>
      <c r="L20" s="6">
        <v>1.5716732000000001E-2</v>
      </c>
      <c r="M20" s="7">
        <v>0.268215867</v>
      </c>
      <c r="N20">
        <v>0.15799255200000001</v>
      </c>
      <c r="O20" s="2" t="s">
        <v>46</v>
      </c>
      <c r="P20" s="2" t="s">
        <v>45</v>
      </c>
    </row>
    <row r="21" spans="1:16">
      <c r="A21" s="1">
        <v>42589</v>
      </c>
      <c r="B21">
        <v>37.664999999999999</v>
      </c>
      <c r="C21">
        <v>-74.782799999999995</v>
      </c>
      <c r="D21">
        <v>20</v>
      </c>
      <c r="E21">
        <v>1.6897413999999999E-2</v>
      </c>
      <c r="F21">
        <v>4.0746688000000003E-2</v>
      </c>
      <c r="G21">
        <v>3.2699333999999997E-2</v>
      </c>
      <c r="H21" s="12">
        <f>IFERROR(LOG10(J21/I21),"")</f>
        <v>0.38227208165359788</v>
      </c>
      <c r="I21" s="10">
        <v>5.4711892999999998E-2</v>
      </c>
      <c r="J21" s="8">
        <v>0.13193311699999999</v>
      </c>
      <c r="K21">
        <v>0.105876706</v>
      </c>
      <c r="L21" s="6">
        <v>5.4711892999999998E-2</v>
      </c>
      <c r="M21" s="7">
        <v>0.13193311699999999</v>
      </c>
      <c r="N21">
        <v>0.105876706</v>
      </c>
      <c r="O21" s="2" t="s">
        <v>46</v>
      </c>
      <c r="P21" s="2" t="s">
        <v>45</v>
      </c>
    </row>
    <row r="22" spans="1:16">
      <c r="A22" s="1">
        <v>42589</v>
      </c>
      <c r="B22">
        <v>37.664999999999999</v>
      </c>
      <c r="C22">
        <v>-74.782799999999995</v>
      </c>
      <c r="D22">
        <v>1</v>
      </c>
      <c r="E22">
        <v>1.3722272000000001E-2</v>
      </c>
      <c r="F22">
        <v>5.0549359000000002E-2</v>
      </c>
      <c r="G22">
        <v>4.9698908999999999E-2</v>
      </c>
      <c r="H22" s="12">
        <f>IFERROR(LOG10(J22/I22),"")</f>
        <v>0.56628963036530811</v>
      </c>
      <c r="I22" s="10">
        <v>1.9123206E-2</v>
      </c>
      <c r="J22" s="8">
        <v>7.0445025999999994E-2</v>
      </c>
      <c r="K22">
        <v>6.9259847999999999E-2</v>
      </c>
      <c r="L22" s="6">
        <v>1.9123206E-2</v>
      </c>
      <c r="M22" s="7">
        <v>7.0445025999999994E-2</v>
      </c>
      <c r="N22">
        <v>6.9259847999999999E-2</v>
      </c>
      <c r="O22" s="2" t="s">
        <v>46</v>
      </c>
      <c r="P22" s="2" t="s">
        <v>45</v>
      </c>
    </row>
    <row r="23" spans="1:16">
      <c r="A23" s="1">
        <v>42589</v>
      </c>
      <c r="B23">
        <v>37.668300000000002</v>
      </c>
      <c r="C23">
        <v>-75.545500000000004</v>
      </c>
      <c r="D23">
        <v>9.2100000000000009</v>
      </c>
      <c r="E23">
        <v>1.9139755000000001E-2</v>
      </c>
      <c r="F23">
        <v>1.3594761E-2</v>
      </c>
      <c r="G23">
        <v>9.4240299999999999E-3</v>
      </c>
      <c r="H23" s="12">
        <f>IFERROR(LOG10(J23/I23),"")</f>
        <v>-0.14856481415608244</v>
      </c>
      <c r="I23" s="10">
        <v>6.4766909999999997E-2</v>
      </c>
      <c r="J23" s="8">
        <v>4.6003233999999997E-2</v>
      </c>
      <c r="K23">
        <v>3.1889921000000002E-2</v>
      </c>
      <c r="L23" s="6">
        <v>6.4766909999999997E-2</v>
      </c>
      <c r="M23" s="7">
        <v>4.6003233999999997E-2</v>
      </c>
      <c r="N23">
        <v>3.1889921000000002E-2</v>
      </c>
      <c r="O23" s="2" t="s">
        <v>46</v>
      </c>
      <c r="P23" s="2" t="s">
        <v>45</v>
      </c>
    </row>
    <row r="24" spans="1:16">
      <c r="A24" s="1">
        <v>42589</v>
      </c>
      <c r="B24">
        <v>37.668300000000002</v>
      </c>
      <c r="C24">
        <v>-75.545500000000004</v>
      </c>
      <c r="D24">
        <v>7.11</v>
      </c>
      <c r="E24">
        <v>1.5106928E-2</v>
      </c>
      <c r="F24">
        <v>2.6427784999999999E-2</v>
      </c>
      <c r="G24">
        <v>2.537907E-2</v>
      </c>
      <c r="H24" s="12">
        <f>IFERROR(LOG10(J24/I24),"")</f>
        <v>0.24288459260949108</v>
      </c>
      <c r="I24" s="10">
        <v>5.0199298000000003E-2</v>
      </c>
      <c r="J24" s="8">
        <v>8.7817735999999993E-2</v>
      </c>
      <c r="K24">
        <v>8.4332926000000002E-2</v>
      </c>
      <c r="L24" s="6">
        <v>5.0199298000000003E-2</v>
      </c>
      <c r="M24" s="7">
        <v>8.7817735999999993E-2</v>
      </c>
      <c r="N24">
        <v>8.4332926000000002E-2</v>
      </c>
      <c r="O24" s="2" t="s">
        <v>46</v>
      </c>
      <c r="P24" s="2" t="s">
        <v>45</v>
      </c>
    </row>
    <row r="25" spans="1:16">
      <c r="A25" s="1">
        <v>42589</v>
      </c>
      <c r="B25">
        <v>37.668300000000002</v>
      </c>
      <c r="C25">
        <v>-75.545500000000004</v>
      </c>
      <c r="D25">
        <v>1</v>
      </c>
      <c r="E25">
        <v>1.2502561000000001E-2</v>
      </c>
      <c r="F25">
        <v>6.4381188000000006E-2</v>
      </c>
      <c r="G25">
        <v>5.6868874E-2</v>
      </c>
      <c r="H25" s="12">
        <f>IFERROR(LOG10(J25/I25),"")</f>
        <v>0.71175999566248249</v>
      </c>
      <c r="I25" s="10">
        <v>3.0694221000000001E-2</v>
      </c>
      <c r="J25" s="8">
        <v>0.15805804700000001</v>
      </c>
      <c r="K25">
        <v>0.13961505799999999</v>
      </c>
      <c r="L25" s="6">
        <v>3.0694221000000001E-2</v>
      </c>
      <c r="M25" s="7">
        <v>0.15805804700000001</v>
      </c>
      <c r="N25">
        <v>0.13961505799999999</v>
      </c>
      <c r="O25" s="2" t="s">
        <v>46</v>
      </c>
      <c r="P25" s="2" t="s">
        <v>45</v>
      </c>
    </row>
    <row r="26" spans="1:16">
      <c r="A26" s="1">
        <v>42590</v>
      </c>
      <c r="B26">
        <v>36.929099999999998</v>
      </c>
      <c r="C26">
        <v>-75.881699999999995</v>
      </c>
      <c r="D26">
        <v>10</v>
      </c>
      <c r="E26">
        <v>1.3941765E-2</v>
      </c>
      <c r="F26">
        <v>2.0415583000000001E-2</v>
      </c>
      <c r="G26">
        <v>1.1254659E-2</v>
      </c>
      <c r="H26" s="12">
        <f>IFERROR(LOG10(J26/I26),"")</f>
        <v>0.16564403184742973</v>
      </c>
      <c r="I26" s="10">
        <v>5.0851278999999999E-2</v>
      </c>
      <c r="J26" s="8">
        <v>7.4463923000000001E-2</v>
      </c>
      <c r="K26">
        <v>4.1050311999999999E-2</v>
      </c>
      <c r="L26" s="6">
        <v>5.0851278999999999E-2</v>
      </c>
      <c r="M26" s="7">
        <v>7.4463923000000001E-2</v>
      </c>
      <c r="N26">
        <v>4.1050311999999999E-2</v>
      </c>
      <c r="O26" s="2" t="s">
        <v>46</v>
      </c>
      <c r="P26" s="2" t="s">
        <v>45</v>
      </c>
    </row>
    <row r="27" spans="1:16">
      <c r="A27" s="1">
        <v>42590</v>
      </c>
      <c r="B27">
        <v>36.929099999999998</v>
      </c>
      <c r="C27">
        <v>-75.881699999999995</v>
      </c>
      <c r="D27">
        <v>7.3</v>
      </c>
      <c r="E27">
        <v>1.1719568E-2</v>
      </c>
      <c r="F27">
        <v>2.0875267999999999E-2</v>
      </c>
      <c r="G27">
        <v>1.1376196999999999E-2</v>
      </c>
      <c r="H27" s="12">
        <f>IFERROR(LOG10(J27/I27),"")</f>
        <v>0.25072045335072907</v>
      </c>
      <c r="I27" s="10">
        <v>4.0011327999999999E-2</v>
      </c>
      <c r="J27" s="8">
        <v>7.1269451999999997E-2</v>
      </c>
      <c r="K27">
        <v>3.8839038999999999E-2</v>
      </c>
      <c r="L27" s="6">
        <v>4.0011327999999999E-2</v>
      </c>
      <c r="M27" s="7">
        <v>7.1269451999999997E-2</v>
      </c>
      <c r="N27">
        <v>3.8839038999999999E-2</v>
      </c>
      <c r="O27" s="2" t="s">
        <v>46</v>
      </c>
      <c r="P27" s="2" t="s">
        <v>45</v>
      </c>
    </row>
    <row r="28" spans="1:16">
      <c r="A28" s="1">
        <v>42590</v>
      </c>
      <c r="B28">
        <v>36.929099999999998</v>
      </c>
      <c r="C28">
        <v>-75.881699999999995</v>
      </c>
      <c r="D28">
        <v>1</v>
      </c>
      <c r="E28">
        <v>7.270482E-3</v>
      </c>
      <c r="F28">
        <v>2.2404937999999999E-2</v>
      </c>
      <c r="G28">
        <v>1.4814488000000001E-2</v>
      </c>
      <c r="H28" s="12">
        <f>IFERROR(LOG10(J28/I28),"")</f>
        <v>0.48878053909856617</v>
      </c>
      <c r="I28" s="10">
        <v>1.3873778E-2</v>
      </c>
      <c r="J28" s="8">
        <v>4.2753855E-2</v>
      </c>
      <c r="K28">
        <v>2.8269504000000001E-2</v>
      </c>
      <c r="L28" s="6">
        <v>1.3873778E-2</v>
      </c>
      <c r="M28" s="7">
        <v>4.2753855E-2</v>
      </c>
      <c r="N28">
        <v>2.8269504000000001E-2</v>
      </c>
      <c r="O28" s="2" t="s">
        <v>46</v>
      </c>
      <c r="P28" s="2" t="s">
        <v>45</v>
      </c>
    </row>
    <row r="29" spans="1:16">
      <c r="A29" s="1">
        <v>42590</v>
      </c>
      <c r="B29">
        <v>36.936799999999998</v>
      </c>
      <c r="C29">
        <v>-74.702500000000001</v>
      </c>
      <c r="D29">
        <v>24.5</v>
      </c>
      <c r="E29">
        <v>5.6942720000000002E-3</v>
      </c>
      <c r="F29">
        <v>3.3512237E-2</v>
      </c>
      <c r="G29">
        <v>7.8081254000000003E-2</v>
      </c>
      <c r="H29" s="12">
        <f>IFERROR(LOG10(J29/I29),"")</f>
        <v>0.76976520424355421</v>
      </c>
      <c r="I29" s="10">
        <v>1.8024874999999999E-2</v>
      </c>
      <c r="J29" s="8">
        <v>0.106080966</v>
      </c>
      <c r="K29">
        <v>0.24716150200000001</v>
      </c>
      <c r="L29" s="6">
        <v>1.8024874999999999E-2</v>
      </c>
      <c r="M29" s="7">
        <v>0.106080966</v>
      </c>
      <c r="N29">
        <v>0.24716150200000001</v>
      </c>
      <c r="O29" s="2" t="s">
        <v>46</v>
      </c>
      <c r="P29" s="2" t="s">
        <v>45</v>
      </c>
    </row>
    <row r="30" spans="1:16">
      <c r="A30" s="1">
        <v>42590</v>
      </c>
      <c r="B30">
        <v>36.936799999999998</v>
      </c>
      <c r="C30">
        <v>-74.702500000000001</v>
      </c>
      <c r="D30">
        <v>14.8</v>
      </c>
      <c r="E30">
        <v>1.1323939E-2</v>
      </c>
      <c r="F30">
        <v>2.3155432E-2</v>
      </c>
      <c r="G30">
        <v>7.536254E-3</v>
      </c>
      <c r="H30" s="12">
        <f>IFERROR(LOG10(J30/I30),"")</f>
        <v>0.31065536768655988</v>
      </c>
      <c r="I30" s="10">
        <v>3.3236806000000001E-2</v>
      </c>
      <c r="J30" s="8">
        <v>6.7963330000000002E-2</v>
      </c>
      <c r="K30">
        <v>2.2119600999999999E-2</v>
      </c>
      <c r="L30" s="6">
        <v>3.3236806000000001E-2</v>
      </c>
      <c r="M30" s="7">
        <v>6.7963330000000002E-2</v>
      </c>
      <c r="N30">
        <v>2.2119600999999999E-2</v>
      </c>
      <c r="O30" s="2" t="s">
        <v>46</v>
      </c>
      <c r="P30" s="2" t="s">
        <v>45</v>
      </c>
    </row>
    <row r="31" spans="1:16">
      <c r="A31" s="1">
        <v>42590</v>
      </c>
      <c r="B31">
        <v>36.936799999999998</v>
      </c>
      <c r="C31">
        <v>-74.702500000000001</v>
      </c>
      <c r="D31">
        <v>1.2</v>
      </c>
      <c r="E31">
        <v>2.2493564000000001E-2</v>
      </c>
      <c r="F31">
        <v>1.5734997000000001E-2</v>
      </c>
      <c r="G31">
        <v>1.6852598E-2</v>
      </c>
      <c r="H31" s="12">
        <f>IFERROR(LOG10(J31/I31),"")</f>
        <v>-0.15519161462070644</v>
      </c>
      <c r="I31" s="10">
        <v>3.1886656999999999E-2</v>
      </c>
      <c r="J31" s="8">
        <v>2.2305777999999998E-2</v>
      </c>
      <c r="K31">
        <v>2.3890077999999999E-2</v>
      </c>
      <c r="L31" s="6">
        <v>3.1886656999999999E-2</v>
      </c>
      <c r="M31" s="7">
        <v>2.2305777999999998E-2</v>
      </c>
      <c r="N31">
        <v>2.3890077999999999E-2</v>
      </c>
      <c r="O31" s="2" t="s">
        <v>46</v>
      </c>
      <c r="P31" s="2" t="s">
        <v>45</v>
      </c>
    </row>
    <row r="32" spans="1:16">
      <c r="A32" s="1">
        <v>42591</v>
      </c>
      <c r="B32">
        <v>36.940300000000001</v>
      </c>
      <c r="C32">
        <v>-73.800299999999993</v>
      </c>
      <c r="D32">
        <v>32.799999999999997</v>
      </c>
      <c r="E32">
        <v>7.5204429999999999E-3</v>
      </c>
      <c r="F32">
        <v>2.177256E-2</v>
      </c>
      <c r="G32">
        <v>3.8460662E-2</v>
      </c>
      <c r="H32" s="12">
        <f>IFERROR(LOG10(J32/I32),"")</f>
        <v>0.46166604281955786</v>
      </c>
      <c r="I32" s="10">
        <v>7.5107230000000004E-3</v>
      </c>
      <c r="J32" s="8">
        <v>2.1744418000000001E-2</v>
      </c>
      <c r="K32">
        <v>3.8410949E-2</v>
      </c>
      <c r="L32" s="6">
        <v>7.5107230000000004E-3</v>
      </c>
      <c r="M32" s="7">
        <v>2.1744418000000001E-2</v>
      </c>
      <c r="N32">
        <v>3.8410949E-2</v>
      </c>
      <c r="O32" s="2" t="s">
        <v>46</v>
      </c>
      <c r="P32" s="2" t="s">
        <v>45</v>
      </c>
    </row>
    <row r="33" spans="1:16">
      <c r="A33" s="1">
        <v>42591</v>
      </c>
      <c r="B33">
        <v>36.940300000000001</v>
      </c>
      <c r="C33">
        <v>-73.800299999999993</v>
      </c>
      <c r="D33">
        <v>20.149999999999999</v>
      </c>
      <c r="E33">
        <v>9.5294899999999998E-3</v>
      </c>
      <c r="F33">
        <v>2.8038236000000001E-2</v>
      </c>
      <c r="G33">
        <v>4.5891999000000003E-2</v>
      </c>
      <c r="H33" s="12">
        <f>IFERROR(LOG10(J33/I33),"")</f>
        <v>0.46868102581903254</v>
      </c>
      <c r="I33" s="10">
        <v>8.7206220000000008E-3</v>
      </c>
      <c r="J33" s="8">
        <v>2.5658336E-2</v>
      </c>
      <c r="K33">
        <v>4.1996664000000003E-2</v>
      </c>
      <c r="L33" s="6">
        <v>8.7206220000000008E-3</v>
      </c>
      <c r="M33" s="7">
        <v>2.5658336E-2</v>
      </c>
      <c r="N33">
        <v>4.1996664000000003E-2</v>
      </c>
      <c r="O33" s="2" t="s">
        <v>46</v>
      </c>
      <c r="P33" s="2" t="s">
        <v>45</v>
      </c>
    </row>
    <row r="34" spans="1:16">
      <c r="A34" s="1">
        <v>42591</v>
      </c>
      <c r="B34">
        <v>36.940300000000001</v>
      </c>
      <c r="C34">
        <v>-73.800299999999993</v>
      </c>
      <c r="D34">
        <v>1.6</v>
      </c>
      <c r="E34">
        <v>8.9765639999999994E-3</v>
      </c>
      <c r="F34">
        <v>2.2679708E-2</v>
      </c>
      <c r="G34">
        <v>9.7120479999999992E-3</v>
      </c>
      <c r="H34" s="12">
        <f>IFERROR(LOG10(J34/I34),"")</f>
        <v>0.4025273381972852</v>
      </c>
      <c r="I34" s="10">
        <v>9.203312E-3</v>
      </c>
      <c r="J34" s="8">
        <v>2.3252597999999999E-2</v>
      </c>
      <c r="K34">
        <v>9.9573749999999992E-3</v>
      </c>
      <c r="L34" s="6">
        <v>9.203312E-3</v>
      </c>
      <c r="M34" s="7">
        <v>2.3252597999999999E-2</v>
      </c>
      <c r="N34">
        <v>9.9573749999999992E-3</v>
      </c>
      <c r="O34" s="2" t="s">
        <v>46</v>
      </c>
      <c r="P34" s="2" t="s">
        <v>45</v>
      </c>
    </row>
    <row r="35" spans="1:16">
      <c r="A35" s="1">
        <v>42591</v>
      </c>
      <c r="B35">
        <v>36.349299999999999</v>
      </c>
      <c r="C35">
        <v>-73.7453</v>
      </c>
      <c r="D35">
        <v>110</v>
      </c>
      <c r="E35">
        <v>3.9834800000000002E-3</v>
      </c>
      <c r="F35">
        <v>2.0499705999999999E-2</v>
      </c>
      <c r="G35">
        <v>5.8751524999999999E-2</v>
      </c>
      <c r="H35" s="12">
        <f>IFERROR(LOG10(J35/I35),"")</f>
        <v>0.71148511510763501</v>
      </c>
      <c r="I35" s="10">
        <v>1.517071E-3</v>
      </c>
      <c r="J35" s="8">
        <v>7.807123E-3</v>
      </c>
      <c r="K35">
        <v>2.2374973999999999E-2</v>
      </c>
      <c r="L35" s="6">
        <v>1.517071E-3</v>
      </c>
      <c r="M35" s="7">
        <v>7.807123E-3</v>
      </c>
      <c r="N35">
        <v>2.2374973999999999E-2</v>
      </c>
      <c r="O35" s="2" t="s">
        <v>46</v>
      </c>
      <c r="P35" s="2" t="s">
        <v>45</v>
      </c>
    </row>
    <row r="36" spans="1:16">
      <c r="A36" s="1">
        <v>42591</v>
      </c>
      <c r="B36">
        <v>36.349299999999999</v>
      </c>
      <c r="C36">
        <v>-73.7453</v>
      </c>
      <c r="D36">
        <v>85</v>
      </c>
      <c r="E36">
        <v>5.1692530000000004E-3</v>
      </c>
      <c r="F36">
        <v>4.5196039E-2</v>
      </c>
      <c r="G36">
        <v>2.9123374E-2</v>
      </c>
      <c r="H36" s="12">
        <f>IFERROR(LOG10(J36/I36),"")</f>
        <v>0.94167258929778352</v>
      </c>
      <c r="I36" s="10">
        <v>3.3372749999999998E-3</v>
      </c>
      <c r="J36" s="8">
        <v>2.9178609000000001E-2</v>
      </c>
      <c r="K36">
        <v>1.8802079999999999E-2</v>
      </c>
      <c r="L36" s="6">
        <v>3.3372749999999998E-3</v>
      </c>
      <c r="M36" s="7">
        <v>2.9178609000000001E-2</v>
      </c>
      <c r="N36">
        <v>1.8802079999999999E-2</v>
      </c>
      <c r="O36" s="2" t="s">
        <v>46</v>
      </c>
      <c r="P36" s="2" t="s">
        <v>45</v>
      </c>
    </row>
    <row r="37" spans="1:16">
      <c r="A37" s="1">
        <v>42591</v>
      </c>
      <c r="B37">
        <v>36.349299999999999</v>
      </c>
      <c r="C37">
        <v>-73.7453</v>
      </c>
      <c r="D37">
        <v>0</v>
      </c>
      <c r="E37">
        <v>1.5192438000000001E-2</v>
      </c>
      <c r="F37">
        <v>1.4959864E-2</v>
      </c>
      <c r="G37">
        <v>3.3332870000000001E-2</v>
      </c>
      <c r="H37" s="12">
        <f>IFERROR(LOG10(J37/I37),"")</f>
        <v>-6.699818419204558E-3</v>
      </c>
      <c r="I37" s="10">
        <v>8.3951960000000006E-3</v>
      </c>
      <c r="J37" s="8">
        <v>8.2666779999999995E-3</v>
      </c>
      <c r="K37">
        <v>1.8419425999999999E-2</v>
      </c>
      <c r="L37" s="6">
        <v>8.3951960000000006E-3</v>
      </c>
      <c r="M37" s="7">
        <v>8.2666779999999995E-3</v>
      </c>
      <c r="N37">
        <v>1.8419425999999999E-2</v>
      </c>
      <c r="O37" s="2" t="s">
        <v>46</v>
      </c>
      <c r="P37" s="2" t="s">
        <v>45</v>
      </c>
    </row>
    <row r="38" spans="1:16">
      <c r="A38" s="1">
        <v>42591</v>
      </c>
      <c r="B38">
        <v>36.333799999999997</v>
      </c>
      <c r="C38">
        <v>-74.215699999999998</v>
      </c>
      <c r="D38">
        <v>37</v>
      </c>
      <c r="E38">
        <v>5.496674E-3</v>
      </c>
      <c r="F38">
        <v>1.2791762E-2</v>
      </c>
      <c r="G38">
        <v>0.135903196</v>
      </c>
      <c r="H38" s="12">
        <f>IFERROR(LOG10(J38/I38),"")</f>
        <v>0.36683037037211574</v>
      </c>
      <c r="I38" s="10">
        <v>8.2947779999999992E-3</v>
      </c>
      <c r="J38" s="8">
        <v>1.9303458999999999E-2</v>
      </c>
      <c r="K38">
        <v>0.20508526599999999</v>
      </c>
      <c r="L38" s="6">
        <v>8.2947779999999992E-3</v>
      </c>
      <c r="M38" s="7">
        <v>1.9303458999999999E-2</v>
      </c>
      <c r="N38">
        <v>0.20508526599999999</v>
      </c>
      <c r="O38" s="2" t="s">
        <v>46</v>
      </c>
      <c r="P38" s="2" t="s">
        <v>45</v>
      </c>
    </row>
    <row r="39" spans="1:16">
      <c r="A39" s="1">
        <v>42591</v>
      </c>
      <c r="B39">
        <v>36.333799999999997</v>
      </c>
      <c r="C39">
        <v>-74.215699999999998</v>
      </c>
      <c r="D39">
        <v>15</v>
      </c>
      <c r="E39">
        <v>3.5957162000000001E-2</v>
      </c>
      <c r="F39">
        <v>1.9101043000000002E-2</v>
      </c>
      <c r="G39">
        <v>1.3657948E-2</v>
      </c>
      <c r="H39" s="12">
        <f>IFERROR(LOG10(J39/I39),"")</f>
        <v>-0.27472832182956425</v>
      </c>
      <c r="I39" s="10">
        <v>5.4719645999999997E-2</v>
      </c>
      <c r="J39" s="8">
        <v>2.9067987E-2</v>
      </c>
      <c r="K39">
        <v>2.078468E-2</v>
      </c>
      <c r="L39" s="6">
        <v>5.4719645999999997E-2</v>
      </c>
      <c r="M39" s="7">
        <v>2.9067987E-2</v>
      </c>
      <c r="N39">
        <v>2.078468E-2</v>
      </c>
      <c r="O39" s="2" t="s">
        <v>46</v>
      </c>
      <c r="P39" s="2" t="s">
        <v>45</v>
      </c>
    </row>
    <row r="40" spans="1:16">
      <c r="A40" s="1">
        <v>42591</v>
      </c>
      <c r="B40">
        <v>36.333799999999997</v>
      </c>
      <c r="C40">
        <v>-74.215699999999998</v>
      </c>
      <c r="D40">
        <v>1.5</v>
      </c>
      <c r="E40">
        <v>2.0365162999999999E-2</v>
      </c>
      <c r="F40">
        <v>2.9805102999999999E-2</v>
      </c>
      <c r="G40">
        <v>1.5465728E-2</v>
      </c>
      <c r="H40" s="12">
        <f>IFERROR(LOG10(J40/I40),"")</f>
        <v>0.16540274022626247</v>
      </c>
      <c r="I40" s="10">
        <v>2.4574348999999999E-2</v>
      </c>
      <c r="J40" s="8">
        <v>3.5965389E-2</v>
      </c>
      <c r="K40">
        <v>1.8662272000000001E-2</v>
      </c>
      <c r="L40" s="6">
        <v>2.4574348999999999E-2</v>
      </c>
      <c r="M40" s="7">
        <v>3.5965389E-2</v>
      </c>
      <c r="N40">
        <v>1.8662272000000001E-2</v>
      </c>
      <c r="O40" s="2" t="s">
        <v>46</v>
      </c>
      <c r="P40" s="2" t="s">
        <v>45</v>
      </c>
    </row>
    <row r="41" spans="1:16">
      <c r="A41" s="1">
        <v>42592</v>
      </c>
      <c r="B41">
        <v>36.332000000000001</v>
      </c>
      <c r="C41">
        <v>-75.642700000000005</v>
      </c>
      <c r="D41">
        <v>19</v>
      </c>
      <c r="E41">
        <v>2.5170919999999999E-2</v>
      </c>
      <c r="F41">
        <v>5.6199333999999997E-2</v>
      </c>
      <c r="G41">
        <v>2.3155281999999999E-2</v>
      </c>
      <c r="H41" s="12">
        <f>IFERROR(LOG10(J41/I41),"")</f>
        <v>0.34883206983439596</v>
      </c>
      <c r="I41" s="10">
        <v>5.9001019000000002E-2</v>
      </c>
      <c r="J41" s="8">
        <v>0.13173209</v>
      </c>
      <c r="K41">
        <v>5.4276333000000003E-2</v>
      </c>
      <c r="L41" s="6">
        <v>5.9001019000000002E-2</v>
      </c>
      <c r="M41" s="7">
        <v>0.13173209</v>
      </c>
      <c r="N41">
        <v>5.4276333000000003E-2</v>
      </c>
      <c r="O41" s="2" t="s">
        <v>46</v>
      </c>
      <c r="P41" s="2" t="s">
        <v>45</v>
      </c>
    </row>
    <row r="42" spans="1:16">
      <c r="A42" s="1">
        <v>42592</v>
      </c>
      <c r="B42">
        <v>36.332000000000001</v>
      </c>
      <c r="C42">
        <v>-75.642700000000005</v>
      </c>
      <c r="D42">
        <v>8.6999999999999993</v>
      </c>
      <c r="E42">
        <v>2.9878258000000001E-2</v>
      </c>
      <c r="F42">
        <v>3.2314766000000002E-2</v>
      </c>
      <c r="G42">
        <v>1.6007480000000001E-2</v>
      </c>
      <c r="H42" s="12">
        <f>IFERROR(LOG10(J42/I42),"")</f>
        <v>3.4045731250834675E-2</v>
      </c>
      <c r="I42" s="10">
        <v>5.8364433E-2</v>
      </c>
      <c r="J42" s="8">
        <v>6.3123925999999997E-2</v>
      </c>
      <c r="K42">
        <v>3.1269142E-2</v>
      </c>
      <c r="L42" s="6">
        <v>5.8364433E-2</v>
      </c>
      <c r="M42" s="7">
        <v>6.3123925999999997E-2</v>
      </c>
      <c r="N42">
        <v>3.1269142E-2</v>
      </c>
      <c r="O42" s="2" t="s">
        <v>46</v>
      </c>
      <c r="P42" s="2" t="s">
        <v>45</v>
      </c>
    </row>
    <row r="43" spans="1:16">
      <c r="A43" s="1">
        <v>42592</v>
      </c>
      <c r="B43">
        <v>36.332000000000001</v>
      </c>
      <c r="C43">
        <v>-75.642700000000005</v>
      </c>
      <c r="D43">
        <v>1.5</v>
      </c>
      <c r="E43">
        <v>0.213796547</v>
      </c>
      <c r="F43">
        <v>2.4383167000000001E-2</v>
      </c>
      <c r="G43">
        <v>1.3567516999999999E-2</v>
      </c>
      <c r="H43" s="12">
        <f>IFERROR(LOG10(J43/I43),"")</f>
        <v>-0.94291058112767323</v>
      </c>
      <c r="I43" s="10">
        <v>0.335360614</v>
      </c>
      <c r="J43" s="8">
        <v>3.8247361000000001E-2</v>
      </c>
      <c r="K43">
        <v>2.1281965999999999E-2</v>
      </c>
      <c r="L43" s="6">
        <v>0.335360614</v>
      </c>
      <c r="M43" s="7">
        <v>3.8247361000000001E-2</v>
      </c>
      <c r="N43">
        <v>2.1281965999999999E-2</v>
      </c>
      <c r="O43" s="2" t="s">
        <v>46</v>
      </c>
      <c r="P43" s="2" t="s">
        <v>45</v>
      </c>
    </row>
    <row r="44" spans="1:16">
      <c r="A44" s="1">
        <v>42592</v>
      </c>
      <c r="B44">
        <v>35.665599999999998</v>
      </c>
      <c r="C44">
        <v>-75.366500000000002</v>
      </c>
      <c r="D44">
        <v>23.9</v>
      </c>
      <c r="E44">
        <v>5.8381989999999996E-3</v>
      </c>
      <c r="F44">
        <v>2.0377609000000001E-2</v>
      </c>
      <c r="G44">
        <v>1.3956385E-2</v>
      </c>
      <c r="H44" s="12">
        <f>IFERROR(LOG10(J44/I44),"")</f>
        <v>0.54287431765844141</v>
      </c>
      <c r="I44" s="10">
        <v>3.4050213000000003E-2</v>
      </c>
      <c r="J44" s="8">
        <v>0.118848622</v>
      </c>
      <c r="K44">
        <v>8.1398026999999998E-2</v>
      </c>
      <c r="L44" s="6">
        <v>3.4050213000000003E-2</v>
      </c>
      <c r="M44" s="7">
        <v>0.118848622</v>
      </c>
      <c r="N44">
        <v>8.1398026999999998E-2</v>
      </c>
      <c r="O44" s="2" t="s">
        <v>46</v>
      </c>
      <c r="P44" s="2" t="s">
        <v>45</v>
      </c>
    </row>
    <row r="45" spans="1:16">
      <c r="A45" s="1">
        <v>42592</v>
      </c>
      <c r="B45">
        <v>35.665599999999998</v>
      </c>
      <c r="C45">
        <v>-75.366500000000002</v>
      </c>
      <c r="D45">
        <v>14.2</v>
      </c>
      <c r="E45">
        <v>1.4629909E-2</v>
      </c>
      <c r="F45">
        <v>4.9059564E-2</v>
      </c>
      <c r="G45">
        <v>1.7122612999999998E-2</v>
      </c>
      <c r="H45" s="12">
        <f>IFERROR(LOG10(J45/I45),"")</f>
        <v>0.52548204613768179</v>
      </c>
      <c r="I45" s="10">
        <v>2.4968748999999998E-2</v>
      </c>
      <c r="J45" s="8">
        <v>8.3729564000000006E-2</v>
      </c>
      <c r="K45">
        <v>2.9223025999999999E-2</v>
      </c>
      <c r="L45" s="6">
        <v>2.4968748999999998E-2</v>
      </c>
      <c r="M45" s="7">
        <v>8.3729564000000006E-2</v>
      </c>
      <c r="N45">
        <v>2.9223025999999999E-2</v>
      </c>
      <c r="O45" s="2" t="s">
        <v>46</v>
      </c>
      <c r="P45" s="2" t="s">
        <v>45</v>
      </c>
    </row>
    <row r="46" spans="1:16">
      <c r="A46" s="1">
        <v>42592</v>
      </c>
      <c r="B46">
        <v>35.665599999999998</v>
      </c>
      <c r="C46">
        <v>-75.366500000000002</v>
      </c>
      <c r="D46">
        <v>1.5</v>
      </c>
      <c r="E46">
        <v>7.35347E-3</v>
      </c>
      <c r="F46">
        <v>2.5818358E-2</v>
      </c>
      <c r="G46">
        <v>9.5809599999999995E-3</v>
      </c>
      <c r="H46" s="12">
        <f>IFERROR(LOG10(J46/I46),"")</f>
        <v>0.54543631366206147</v>
      </c>
      <c r="I46" s="10">
        <v>2.0848604E-2</v>
      </c>
      <c r="J46" s="8">
        <v>7.3200372999999999E-2</v>
      </c>
      <c r="K46">
        <v>2.7163999000000001E-2</v>
      </c>
      <c r="L46" s="6">
        <v>2.0848604E-2</v>
      </c>
      <c r="M46" s="7">
        <v>7.3200372999999999E-2</v>
      </c>
      <c r="N46">
        <v>2.7163999000000001E-2</v>
      </c>
      <c r="O46" s="2" t="s">
        <v>46</v>
      </c>
      <c r="P46" s="2" t="s">
        <v>45</v>
      </c>
    </row>
    <row r="47" spans="1:16">
      <c r="A47" s="1">
        <v>42592</v>
      </c>
      <c r="B47">
        <v>35.671300000000002</v>
      </c>
      <c r="C47">
        <v>-74.360500000000002</v>
      </c>
      <c r="D47">
        <v>1</v>
      </c>
      <c r="E47">
        <v>7.8576979999999998E-3</v>
      </c>
      <c r="F47">
        <v>4.0897476000000002E-2</v>
      </c>
      <c r="G47">
        <v>2.7914321999999998E-2</v>
      </c>
      <c r="H47" s="12">
        <f>IFERROR(LOG10(J47/I47),"")</f>
        <v>0.71640116981258073</v>
      </c>
      <c r="I47" s="10">
        <v>7.0842049999999997E-3</v>
      </c>
      <c r="J47" s="8">
        <v>3.6871625999999998E-2</v>
      </c>
      <c r="K47">
        <v>2.5166503E-2</v>
      </c>
      <c r="L47" s="6">
        <v>7.0842049999999997E-3</v>
      </c>
      <c r="M47" s="7">
        <v>3.6871625999999998E-2</v>
      </c>
      <c r="N47">
        <v>2.5166503E-2</v>
      </c>
      <c r="O47" s="2" t="s">
        <v>46</v>
      </c>
      <c r="P47" s="2" t="s">
        <v>45</v>
      </c>
    </row>
    <row r="48" spans="1:16">
      <c r="A48" s="1">
        <v>42592</v>
      </c>
      <c r="B48">
        <v>35.671300000000002</v>
      </c>
      <c r="C48">
        <v>-74.360500000000002</v>
      </c>
      <c r="D48">
        <v>50</v>
      </c>
      <c r="E48">
        <v>2.0205299999999999E-2</v>
      </c>
      <c r="F48">
        <v>6.7809417999999996E-2</v>
      </c>
      <c r="G48">
        <v>3.5096541000000002E-2</v>
      </c>
      <c r="H48" s="12">
        <f>IFERROR(LOG10(J48/I48),"")</f>
        <v>0.52582471750016202</v>
      </c>
      <c r="I48" s="10">
        <v>1.690471E-2</v>
      </c>
      <c r="J48" s="8">
        <v>5.6732567999999997E-2</v>
      </c>
      <c r="K48">
        <v>2.9363427000000001E-2</v>
      </c>
      <c r="L48" s="6">
        <v>1.690471E-2</v>
      </c>
      <c r="M48" s="7">
        <v>5.6732567999999997E-2</v>
      </c>
      <c r="N48">
        <v>2.9363427000000001E-2</v>
      </c>
      <c r="O48" s="2" t="s">
        <v>46</v>
      </c>
      <c r="P48" s="2" t="s">
        <v>45</v>
      </c>
    </row>
    <row r="49" spans="1:16">
      <c r="A49" s="1">
        <v>42592</v>
      </c>
      <c r="B49">
        <v>35.671300000000002</v>
      </c>
      <c r="C49">
        <v>-74.360500000000002</v>
      </c>
      <c r="D49">
        <v>100</v>
      </c>
      <c r="E49">
        <v>3.9628481E-2</v>
      </c>
      <c r="F49">
        <v>4.8678000999999999E-2</v>
      </c>
      <c r="G49">
        <v>6.6219302999999993E-2</v>
      </c>
      <c r="H49" s="12">
        <f>IFERROR(LOG10(J49/I49),"")</f>
        <v>8.9325293592316252E-2</v>
      </c>
      <c r="I49" s="10">
        <v>2.0313060000000001E-2</v>
      </c>
      <c r="J49" s="8">
        <v>2.4951728999999999E-2</v>
      </c>
      <c r="K49">
        <v>3.3943180000000003E-2</v>
      </c>
      <c r="L49" s="6">
        <v>2.0313060000000001E-2</v>
      </c>
      <c r="M49" s="7">
        <v>2.4951728999999999E-2</v>
      </c>
      <c r="N49">
        <v>3.3943180000000003E-2</v>
      </c>
      <c r="O49" s="2" t="s">
        <v>46</v>
      </c>
      <c r="P49" s="2" t="s">
        <v>45</v>
      </c>
    </row>
    <row r="50" spans="1:16">
      <c r="A50" s="1">
        <v>42593</v>
      </c>
      <c r="B50">
        <v>35.664099999999998</v>
      </c>
      <c r="C50">
        <v>-73.370800000000003</v>
      </c>
      <c r="D50">
        <v>105</v>
      </c>
      <c r="E50">
        <v>2.3819937999999999E-2</v>
      </c>
      <c r="F50">
        <v>5.5262937999999998E-2</v>
      </c>
      <c r="G50">
        <v>5.4262030000000003E-2</v>
      </c>
      <c r="H50" s="12">
        <f>IFERROR(LOG10(J50/I50),"")</f>
        <v>0.36549333859900968</v>
      </c>
      <c r="I50" s="10">
        <v>1.1042085E-2</v>
      </c>
      <c r="J50" s="8">
        <v>2.5617952999999999E-2</v>
      </c>
      <c r="K50">
        <v>2.5153966999999999E-2</v>
      </c>
      <c r="L50" s="6">
        <v>1.1042085E-2</v>
      </c>
      <c r="M50" s="7">
        <v>2.5617952999999999E-2</v>
      </c>
      <c r="N50">
        <v>2.5153966999999999E-2</v>
      </c>
      <c r="O50" s="2" t="s">
        <v>46</v>
      </c>
      <c r="P50" s="2" t="s">
        <v>45</v>
      </c>
    </row>
    <row r="51" spans="1:16">
      <c r="A51" s="1">
        <v>42593</v>
      </c>
      <c r="B51">
        <v>35.664099999999998</v>
      </c>
      <c r="C51">
        <v>-73.370800000000003</v>
      </c>
      <c r="D51">
        <v>70</v>
      </c>
      <c r="E51">
        <v>2.7862488000000001E-2</v>
      </c>
      <c r="F51">
        <v>3.7632193000000001E-2</v>
      </c>
      <c r="G51">
        <v>5.5187274000000001E-2</v>
      </c>
      <c r="H51" s="12">
        <f>IFERROR(LOG10(J51/I51),"")</f>
        <v>0.13053962553200343</v>
      </c>
      <c r="I51" s="10">
        <v>1.461981E-2</v>
      </c>
      <c r="J51" s="8">
        <v>1.9746100999999999E-2</v>
      </c>
      <c r="K51">
        <v>2.8957479000000001E-2</v>
      </c>
      <c r="L51" s="6">
        <v>1.461981E-2</v>
      </c>
      <c r="M51" s="7">
        <v>1.9746100999999999E-2</v>
      </c>
      <c r="N51">
        <v>2.8957479000000001E-2</v>
      </c>
      <c r="O51" s="2" t="s">
        <v>46</v>
      </c>
      <c r="P51" s="2" t="s">
        <v>45</v>
      </c>
    </row>
    <row r="52" spans="1:16">
      <c r="A52" s="1">
        <v>42593</v>
      </c>
      <c r="B52">
        <v>35.664099999999998</v>
      </c>
      <c r="C52">
        <v>-73.370800000000003</v>
      </c>
      <c r="D52">
        <v>0</v>
      </c>
      <c r="E52">
        <v>6.9219016999999994E-2</v>
      </c>
      <c r="F52">
        <v>4.9281443000000001E-2</v>
      </c>
      <c r="G52">
        <v>5.2796495999999998E-2</v>
      </c>
      <c r="H52" s="12">
        <f>IFERROR(LOG10(J52/I52),"")</f>
        <v>-0.1475420025210859</v>
      </c>
      <c r="I52" s="10">
        <v>3.6537504999999998E-2</v>
      </c>
      <c r="J52" s="8">
        <v>2.6013385999999999E-2</v>
      </c>
      <c r="K52">
        <v>2.7868819E-2</v>
      </c>
      <c r="L52" s="6">
        <v>3.6537504999999998E-2</v>
      </c>
      <c r="M52" s="7">
        <v>2.6013385999999999E-2</v>
      </c>
      <c r="N52">
        <v>2.7868819E-2</v>
      </c>
      <c r="O52" s="2" t="s">
        <v>46</v>
      </c>
      <c r="P52" s="2" t="s">
        <v>45</v>
      </c>
    </row>
    <row r="53" spans="1:16">
      <c r="A53" s="1">
        <v>42593</v>
      </c>
      <c r="B53">
        <v>35.031599999999997</v>
      </c>
      <c r="C53">
        <v>-73.917000000000002</v>
      </c>
      <c r="D53">
        <v>96</v>
      </c>
      <c r="E53">
        <v>4.2281968000000003E-2</v>
      </c>
      <c r="F53">
        <v>4.9013596E-2</v>
      </c>
      <c r="G53">
        <v>4.9992136E-2</v>
      </c>
      <c r="H53" s="12">
        <f>IFERROR(LOG10(J53/I53),"")</f>
        <v>6.4161364539940188E-2</v>
      </c>
      <c r="I53" s="10">
        <v>2.7318014000000002E-2</v>
      </c>
      <c r="J53" s="8">
        <v>3.1667260000000003E-2</v>
      </c>
      <c r="K53">
        <v>3.2299487000000002E-2</v>
      </c>
      <c r="L53" s="6">
        <v>2.7318014000000002E-2</v>
      </c>
      <c r="M53" s="7">
        <v>3.1667260000000003E-2</v>
      </c>
      <c r="N53">
        <v>3.2299487000000002E-2</v>
      </c>
      <c r="O53" s="2" t="s">
        <v>46</v>
      </c>
      <c r="P53" s="2" t="s">
        <v>45</v>
      </c>
    </row>
    <row r="54" spans="1:16">
      <c r="A54" s="1">
        <v>42593</v>
      </c>
      <c r="B54">
        <v>35.031599999999997</v>
      </c>
      <c r="C54">
        <v>-73.917000000000002</v>
      </c>
      <c r="D54">
        <v>64</v>
      </c>
      <c r="E54">
        <v>2.1209921E-2</v>
      </c>
      <c r="F54">
        <v>1.6636128E-2</v>
      </c>
      <c r="G54">
        <v>4.8598914E-2</v>
      </c>
      <c r="H54" s="12">
        <f>IFERROR(LOG10(J54/I54),"")</f>
        <v>-0.10548683687506692</v>
      </c>
      <c r="I54" s="10">
        <v>1.5392388999999999E-2</v>
      </c>
      <c r="J54" s="8">
        <v>1.2073110999999999E-2</v>
      </c>
      <c r="K54">
        <v>3.5269031999999999E-2</v>
      </c>
      <c r="L54" s="6">
        <v>1.5392388999999999E-2</v>
      </c>
      <c r="M54" s="7">
        <v>1.2073110999999999E-2</v>
      </c>
      <c r="N54">
        <v>3.5269031999999999E-2</v>
      </c>
      <c r="O54" s="2" t="s">
        <v>46</v>
      </c>
      <c r="P54" s="2" t="s">
        <v>45</v>
      </c>
    </row>
    <row r="55" spans="1:16">
      <c r="A55" s="1">
        <v>42593</v>
      </c>
      <c r="B55">
        <v>35.031599999999997</v>
      </c>
      <c r="C55">
        <v>-73.917000000000002</v>
      </c>
      <c r="D55">
        <v>1</v>
      </c>
      <c r="E55">
        <v>3.8103997000000001E-2</v>
      </c>
      <c r="F55">
        <v>2.6077139999999999E-2</v>
      </c>
      <c r="G55">
        <v>3.5731401000000003E-2</v>
      </c>
      <c r="H55" s="12">
        <f>IFERROR(LOG10(J55/I55),"")</f>
        <v>-0.16471057206405892</v>
      </c>
      <c r="I55" s="10">
        <v>2.4325223E-2</v>
      </c>
      <c r="J55" s="8">
        <v>1.6647393999999999E-2</v>
      </c>
      <c r="K55">
        <v>2.2810581E-2</v>
      </c>
      <c r="L55" s="6">
        <v>2.4325223E-2</v>
      </c>
      <c r="M55" s="7">
        <v>1.6647393999999999E-2</v>
      </c>
      <c r="N55">
        <v>2.2810581E-2</v>
      </c>
      <c r="O55" s="2" t="s">
        <v>46</v>
      </c>
      <c r="P55" s="2" t="s">
        <v>45</v>
      </c>
    </row>
    <row r="56" spans="1:16">
      <c r="A56" s="1">
        <v>42593</v>
      </c>
      <c r="B56">
        <v>35.035800000000002</v>
      </c>
      <c r="C56">
        <v>-74.8643</v>
      </c>
      <c r="D56">
        <v>100</v>
      </c>
      <c r="E56">
        <v>9.1053178999999998E-2</v>
      </c>
      <c r="F56">
        <v>2.7649796000000001E-2</v>
      </c>
      <c r="G56">
        <v>0.116209522</v>
      </c>
      <c r="H56" s="12">
        <f>IFERROR(LOG10(J56/I56),"")</f>
        <v>-0.51760317955371016</v>
      </c>
      <c r="I56" s="10">
        <v>5.2367222999999997E-2</v>
      </c>
      <c r="J56" s="8">
        <v>1.5902169000000001E-2</v>
      </c>
      <c r="K56">
        <v>6.6835336999999995E-2</v>
      </c>
      <c r="L56" s="6">
        <v>5.2367222999999997E-2</v>
      </c>
      <c r="M56" s="7">
        <v>1.5902169000000001E-2</v>
      </c>
      <c r="N56">
        <v>6.6835336999999995E-2</v>
      </c>
      <c r="O56" s="2" t="s">
        <v>46</v>
      </c>
      <c r="P56" s="2" t="s">
        <v>45</v>
      </c>
    </row>
    <row r="57" spans="1:16">
      <c r="A57" s="1">
        <v>42593</v>
      </c>
      <c r="B57">
        <v>35.035800000000002</v>
      </c>
      <c r="C57">
        <v>-74.8643</v>
      </c>
      <c r="D57">
        <v>1</v>
      </c>
      <c r="E57">
        <v>3.6479820000000003E-2</v>
      </c>
      <c r="F57">
        <v>3.2502055000000002E-2</v>
      </c>
      <c r="G57">
        <v>4.8394697E-2</v>
      </c>
      <c r="H57" s="12">
        <f>IFERROR(LOG10(J57/I57),"")</f>
        <v>-5.0141865907631818E-2</v>
      </c>
      <c r="I57" s="10">
        <v>1.8852266999999999E-2</v>
      </c>
      <c r="J57" s="8">
        <v>1.6796612999999998E-2</v>
      </c>
      <c r="K57">
        <v>2.5009711E-2</v>
      </c>
      <c r="L57" s="6">
        <v>1.8852266999999999E-2</v>
      </c>
      <c r="M57" s="7">
        <v>1.6796612999999998E-2</v>
      </c>
      <c r="N57">
        <v>2.5009711E-2</v>
      </c>
      <c r="O57" s="2" t="s">
        <v>46</v>
      </c>
      <c r="P57" s="2" t="s">
        <v>45</v>
      </c>
    </row>
    <row r="58" spans="1:16">
      <c r="A58" s="1">
        <v>42594</v>
      </c>
      <c r="B58">
        <v>35.045000000000002</v>
      </c>
      <c r="C58">
        <v>-75.682000000000002</v>
      </c>
      <c r="D58">
        <v>22.5</v>
      </c>
      <c r="E58">
        <v>1.5513946000000001E-2</v>
      </c>
      <c r="F58">
        <v>3.0697400999999999E-2</v>
      </c>
      <c r="G58">
        <v>2.3449164000000002E-2</v>
      </c>
      <c r="H58" s="12">
        <f>IFERROR(LOG10(J58/I58),"")</f>
        <v>0.29637933804389766</v>
      </c>
      <c r="I58" s="10">
        <v>3.1310617999999998E-2</v>
      </c>
      <c r="J58" s="8">
        <v>6.1954231999999998E-2</v>
      </c>
      <c r="K58">
        <v>4.7325664000000003E-2</v>
      </c>
      <c r="L58" s="6">
        <v>3.1310617999999998E-2</v>
      </c>
      <c r="M58" s="7">
        <v>6.1954231999999998E-2</v>
      </c>
      <c r="N58">
        <v>4.7325664000000003E-2</v>
      </c>
      <c r="O58" s="2" t="s">
        <v>46</v>
      </c>
      <c r="P58" s="2" t="s">
        <v>45</v>
      </c>
    </row>
    <row r="59" spans="1:16">
      <c r="A59" s="1">
        <v>42594</v>
      </c>
      <c r="B59">
        <v>35.045000000000002</v>
      </c>
      <c r="C59">
        <v>-75.682000000000002</v>
      </c>
      <c r="D59">
        <v>15.2</v>
      </c>
      <c r="E59">
        <v>2.3993809000000001E-2</v>
      </c>
      <c r="F59">
        <v>1.9259885000000001E-2</v>
      </c>
      <c r="G59">
        <v>1.6659823000000001E-2</v>
      </c>
      <c r="H59" s="12">
        <f>IFERROR(LOG10(J59/I59),"")</f>
        <v>-9.5445521151182738E-2</v>
      </c>
      <c r="I59" s="10">
        <v>3.8651458999999999E-2</v>
      </c>
      <c r="J59" s="8">
        <v>3.1025613E-2</v>
      </c>
      <c r="K59">
        <v>2.6837191E-2</v>
      </c>
      <c r="L59" s="6">
        <v>3.8651458999999999E-2</v>
      </c>
      <c r="M59" s="7">
        <v>3.1025613E-2</v>
      </c>
      <c r="N59">
        <v>2.6837191E-2</v>
      </c>
      <c r="O59" s="2" t="s">
        <v>46</v>
      </c>
      <c r="P59" s="2" t="s">
        <v>45</v>
      </c>
    </row>
    <row r="60" spans="1:16">
      <c r="A60" s="1">
        <v>42594</v>
      </c>
      <c r="B60">
        <v>35.045000000000002</v>
      </c>
      <c r="C60">
        <v>-75.682000000000002</v>
      </c>
      <c r="D60">
        <v>2.2000000000000002</v>
      </c>
      <c r="E60">
        <v>5.6098837999999998E-2</v>
      </c>
      <c r="F60">
        <v>3.4463564000000002E-2</v>
      </c>
      <c r="G60">
        <v>2.3601631000000001E-2</v>
      </c>
      <c r="H60" s="12">
        <f>IFERROR(LOG10(J60/I60),"")</f>
        <v>-0.21159368182426816</v>
      </c>
      <c r="I60" s="10">
        <v>7.2842150999999994E-2</v>
      </c>
      <c r="J60" s="8">
        <v>4.4749591999999998E-2</v>
      </c>
      <c r="K60">
        <v>3.0645796999999999E-2</v>
      </c>
      <c r="L60" s="6">
        <v>7.2842150999999994E-2</v>
      </c>
      <c r="M60" s="7">
        <v>4.4749591999999998E-2</v>
      </c>
      <c r="N60">
        <v>3.0645796999999999E-2</v>
      </c>
      <c r="O60" s="2" t="s">
        <v>46</v>
      </c>
      <c r="P60" s="2" t="s">
        <v>45</v>
      </c>
    </row>
    <row r="61" spans="1:16">
      <c r="A61" s="1">
        <v>42595</v>
      </c>
      <c r="B61">
        <v>33.331800000000001</v>
      </c>
      <c r="C61">
        <v>-78.584800000000001</v>
      </c>
      <c r="D61">
        <v>17</v>
      </c>
      <c r="E61">
        <v>1.5637049E-2</v>
      </c>
      <c r="F61">
        <v>4.0645202999999998E-2</v>
      </c>
      <c r="G61">
        <v>3.1345095000000003E-2</v>
      </c>
      <c r="H61" s="12">
        <f>IFERROR(LOG10(J61/I61),"")</f>
        <v>0.41485451412646129</v>
      </c>
      <c r="I61" s="10">
        <v>5.3111099000000002E-2</v>
      </c>
      <c r="J61" s="8">
        <v>0.13805107799999999</v>
      </c>
      <c r="K61">
        <v>0.106463341</v>
      </c>
      <c r="L61" s="6">
        <v>5.3111099000000002E-2</v>
      </c>
      <c r="M61" s="7">
        <v>0.13805107799999999</v>
      </c>
      <c r="N61">
        <v>0.106463341</v>
      </c>
      <c r="O61" s="2" t="s">
        <v>46</v>
      </c>
      <c r="P61" s="2" t="s">
        <v>45</v>
      </c>
    </row>
    <row r="62" spans="1:16">
      <c r="A62" s="1">
        <v>42595</v>
      </c>
      <c r="B62">
        <v>33.331800000000001</v>
      </c>
      <c r="C62">
        <v>-78.584800000000001</v>
      </c>
      <c r="D62">
        <v>10</v>
      </c>
      <c r="E62">
        <v>7.9387069999999997E-3</v>
      </c>
      <c r="F62">
        <v>1.2580529999999999E-2</v>
      </c>
      <c r="G62">
        <v>1.1420735E-2</v>
      </c>
      <c r="H62" s="12">
        <f>IFERROR(LOG10(J62/I62),"")</f>
        <v>0.19994913488915683</v>
      </c>
      <c r="I62" s="10">
        <v>3.4332600999999997E-2</v>
      </c>
      <c r="J62" s="8">
        <v>5.4407133000000003E-2</v>
      </c>
      <c r="K62">
        <v>4.9391356999999997E-2</v>
      </c>
      <c r="L62" s="6">
        <v>3.4332600999999997E-2</v>
      </c>
      <c r="M62" s="7">
        <v>5.4407133000000003E-2</v>
      </c>
      <c r="N62">
        <v>4.9391356999999997E-2</v>
      </c>
      <c r="O62" s="2" t="s">
        <v>46</v>
      </c>
      <c r="P62" s="2" t="s">
        <v>45</v>
      </c>
    </row>
    <row r="63" spans="1:16">
      <c r="A63" s="1">
        <v>42595</v>
      </c>
      <c r="B63">
        <v>33.331800000000001</v>
      </c>
      <c r="C63">
        <v>-78.584800000000001</v>
      </c>
      <c r="D63">
        <v>1.6</v>
      </c>
      <c r="E63">
        <v>2.3931621E-2</v>
      </c>
      <c r="F63">
        <v>3.1655109000000001E-2</v>
      </c>
      <c r="G63">
        <v>3.9176701000000001E-2</v>
      </c>
      <c r="H63" s="12">
        <f>IFERROR(LOG10(J63/I63),"")</f>
        <v>0.12147168961921927</v>
      </c>
      <c r="I63" s="10">
        <v>5.7973387000000001E-2</v>
      </c>
      <c r="J63" s="8">
        <v>7.6683223999999994E-2</v>
      </c>
      <c r="K63">
        <v>9.4903977E-2</v>
      </c>
      <c r="L63" s="6">
        <v>5.7973387000000001E-2</v>
      </c>
      <c r="M63" s="7">
        <v>7.6683223999999994E-2</v>
      </c>
      <c r="N63">
        <v>9.4903977E-2</v>
      </c>
      <c r="O63" s="2" t="s">
        <v>46</v>
      </c>
      <c r="P63" s="2" t="s">
        <v>45</v>
      </c>
    </row>
    <row r="64" spans="1:16">
      <c r="A64" s="1">
        <v>42595</v>
      </c>
      <c r="B64">
        <v>33.332500000000003</v>
      </c>
      <c r="C64">
        <v>-77.531700000000001</v>
      </c>
      <c r="D64">
        <v>24</v>
      </c>
      <c r="E64">
        <v>8.4254389999999998E-3</v>
      </c>
      <c r="F64">
        <v>1.6125230000000001E-2</v>
      </c>
      <c r="G64">
        <v>1.3560472E-2</v>
      </c>
      <c r="H64" s="12">
        <f>IFERROR(LOG10(J64/I64),"")</f>
        <v>0.28191337340244749</v>
      </c>
      <c r="I64" s="10">
        <v>3.3061497000000002E-2</v>
      </c>
      <c r="J64" s="8">
        <v>6.3275544000000003E-2</v>
      </c>
      <c r="K64">
        <v>5.3211413999999999E-2</v>
      </c>
      <c r="L64" s="6">
        <v>3.3061497000000002E-2</v>
      </c>
      <c r="M64" s="7">
        <v>6.3275544000000003E-2</v>
      </c>
      <c r="N64">
        <v>5.3211413999999999E-2</v>
      </c>
      <c r="O64" s="2" t="s">
        <v>46</v>
      </c>
      <c r="P64" s="2" t="s">
        <v>45</v>
      </c>
    </row>
    <row r="65" spans="1:16">
      <c r="A65" s="1">
        <v>42595</v>
      </c>
      <c r="B65">
        <v>33.332500000000003</v>
      </c>
      <c r="C65">
        <v>-77.531700000000001</v>
      </c>
      <c r="D65">
        <v>15</v>
      </c>
      <c r="E65">
        <v>2.4283401999999999E-2</v>
      </c>
      <c r="F65">
        <v>3.3518685999999999E-2</v>
      </c>
      <c r="G65">
        <v>2.6021946000000001E-2</v>
      </c>
      <c r="H65" s="12">
        <f>IFERROR(LOG10(J65/I65),"")</f>
        <v>0.13997745559387101</v>
      </c>
      <c r="I65" s="10">
        <v>3.4653257999999999E-2</v>
      </c>
      <c r="J65" s="8">
        <v>4.7832329E-2</v>
      </c>
      <c r="K65">
        <v>3.7134221000000002E-2</v>
      </c>
      <c r="L65" s="6">
        <v>3.4653257999999999E-2</v>
      </c>
      <c r="M65" s="7">
        <v>4.7832329E-2</v>
      </c>
      <c r="N65">
        <v>3.7134221000000002E-2</v>
      </c>
      <c r="O65" s="2" t="s">
        <v>46</v>
      </c>
      <c r="P65" s="2" t="s">
        <v>45</v>
      </c>
    </row>
    <row r="66" spans="1:16">
      <c r="A66" s="1">
        <v>42595</v>
      </c>
      <c r="B66">
        <v>33.332500000000003</v>
      </c>
      <c r="C66">
        <v>-77.531700000000001</v>
      </c>
      <c r="D66">
        <v>2.6</v>
      </c>
      <c r="E66">
        <v>2.0962194999999999E-2</v>
      </c>
      <c r="F66">
        <v>2.5614181999999999E-2</v>
      </c>
      <c r="G66">
        <v>1.7976506E-2</v>
      </c>
      <c r="H66" s="12">
        <f>IFERROR(LOG10(J66/I66),"")</f>
        <v>8.7043732534025559E-2</v>
      </c>
      <c r="I66" s="10">
        <v>2.5126969999999998E-2</v>
      </c>
      <c r="J66" s="8">
        <v>3.0703214999999999E-2</v>
      </c>
      <c r="K66">
        <v>2.1548083999999999E-2</v>
      </c>
      <c r="L66" s="6">
        <v>2.5126969999999998E-2</v>
      </c>
      <c r="M66" s="7">
        <v>3.0703214999999999E-2</v>
      </c>
      <c r="N66">
        <v>2.1548083999999999E-2</v>
      </c>
      <c r="O66" s="2" t="s">
        <v>46</v>
      </c>
      <c r="P66" s="2" t="s">
        <v>45</v>
      </c>
    </row>
    <row r="67" spans="1:16">
      <c r="A67" s="1">
        <v>42595</v>
      </c>
      <c r="B67">
        <v>33.330599999999997</v>
      </c>
      <c r="C67">
        <v>-76.533000000000001</v>
      </c>
      <c r="D67">
        <v>150</v>
      </c>
      <c r="E67">
        <v>3.2728699E-2</v>
      </c>
      <c r="F67">
        <v>3.4914925999999999E-2</v>
      </c>
      <c r="G67">
        <v>0.379597829</v>
      </c>
      <c r="H67" s="12">
        <f>IFERROR(LOG10(J67/I67),"")</f>
        <v>2.8082386909445155E-2</v>
      </c>
      <c r="I67" s="10">
        <v>1.4361570000000001E-2</v>
      </c>
      <c r="J67" s="8">
        <v>1.5320901E-2</v>
      </c>
      <c r="K67">
        <v>0.166570038</v>
      </c>
      <c r="L67" s="6">
        <v>1.4361570000000001E-2</v>
      </c>
      <c r="M67" s="7">
        <v>1.5320901E-2</v>
      </c>
      <c r="N67">
        <v>0.166570038</v>
      </c>
      <c r="O67" s="2" t="s">
        <v>46</v>
      </c>
      <c r="P67" s="2" t="s">
        <v>45</v>
      </c>
    </row>
    <row r="68" spans="1:16">
      <c r="A68" s="1">
        <v>42595</v>
      </c>
      <c r="B68">
        <v>33.330599999999997</v>
      </c>
      <c r="C68">
        <v>-76.533000000000001</v>
      </c>
      <c r="D68">
        <v>99.5</v>
      </c>
      <c r="E68">
        <v>5.2471346000000002E-2</v>
      </c>
      <c r="F68">
        <v>5.0764678000000001E-2</v>
      </c>
      <c r="G68">
        <v>8.6539360999999995E-2</v>
      </c>
      <c r="H68" s="12">
        <f>IFERROR(LOG10(J68/I68),"")</f>
        <v>-1.4360569762284925E-2</v>
      </c>
      <c r="I68" s="10">
        <v>3.1267598000000001E-2</v>
      </c>
      <c r="J68" s="8">
        <v>3.0250597000000001E-2</v>
      </c>
      <c r="K68">
        <v>5.1568678999999999E-2</v>
      </c>
      <c r="L68" s="6">
        <v>3.1267598000000001E-2</v>
      </c>
      <c r="M68" s="7">
        <v>3.0250597000000001E-2</v>
      </c>
      <c r="N68">
        <v>5.1568678999999999E-2</v>
      </c>
      <c r="O68" s="2" t="s">
        <v>46</v>
      </c>
      <c r="P68" s="2" t="s">
        <v>45</v>
      </c>
    </row>
    <row r="69" spans="1:16">
      <c r="A69" s="1">
        <v>42595</v>
      </c>
      <c r="B69">
        <v>33.330599999999997</v>
      </c>
      <c r="C69">
        <v>-76.533000000000001</v>
      </c>
      <c r="D69">
        <v>1.4</v>
      </c>
      <c r="E69">
        <v>2.9516143000000002E-2</v>
      </c>
      <c r="F69">
        <v>7.1165163000000004E-2</v>
      </c>
      <c r="G69">
        <v>5.7318026000000001E-2</v>
      </c>
      <c r="H69" s="12">
        <f>IFERROR(LOG10(J69/I69),"")</f>
        <v>0.3822078459623553</v>
      </c>
      <c r="I69" s="10">
        <v>1.6310523E-2</v>
      </c>
      <c r="J69" s="8">
        <v>3.9325633999999998E-2</v>
      </c>
      <c r="K69">
        <v>3.1673751999999999E-2</v>
      </c>
      <c r="L69" s="6">
        <v>1.6310523E-2</v>
      </c>
      <c r="M69" s="7">
        <v>3.9325633999999998E-2</v>
      </c>
      <c r="N69">
        <v>3.1673751999999999E-2</v>
      </c>
      <c r="O69" s="2" t="s">
        <v>46</v>
      </c>
      <c r="P69" s="2" t="s">
        <v>45</v>
      </c>
    </row>
    <row r="70" spans="1:16">
      <c r="A70" s="1">
        <v>42596</v>
      </c>
      <c r="B70">
        <v>33.336300000000001</v>
      </c>
      <c r="C70">
        <v>-76.116799999999998</v>
      </c>
      <c r="D70">
        <v>120.9</v>
      </c>
      <c r="E70">
        <v>1.8662426999999999E-2</v>
      </c>
      <c r="F70">
        <v>3.5269426999999999E-2</v>
      </c>
      <c r="G70">
        <v>1.4465439999999999E-3</v>
      </c>
      <c r="H70" s="12">
        <f>IFERROR(LOG10(J70/I70),"")</f>
        <v>0.27643027315235269</v>
      </c>
      <c r="I70" s="10">
        <v>1.0287767E-2</v>
      </c>
      <c r="J70" s="8">
        <v>1.9442468000000001E-2</v>
      </c>
      <c r="K70">
        <v>7.9741600000000001E-4</v>
      </c>
      <c r="L70" s="6">
        <v>1.0287767E-2</v>
      </c>
      <c r="M70" s="7">
        <v>1.9442468000000001E-2</v>
      </c>
      <c r="N70">
        <v>7.9741600000000001E-4</v>
      </c>
      <c r="O70" s="2" t="s">
        <v>46</v>
      </c>
      <c r="P70" s="2" t="s">
        <v>45</v>
      </c>
    </row>
    <row r="71" spans="1:16">
      <c r="A71" s="1">
        <v>42596</v>
      </c>
      <c r="B71">
        <v>33.336300000000001</v>
      </c>
      <c r="C71">
        <v>-76.116799999999998</v>
      </c>
      <c r="D71">
        <v>50</v>
      </c>
      <c r="E71">
        <v>6.852988E-3</v>
      </c>
      <c r="F71">
        <v>1.0566233E-2</v>
      </c>
      <c r="G71">
        <v>2.9802790000000002E-3</v>
      </c>
      <c r="H71" s="12">
        <f>IFERROR(LOG10(J71/I71),"")</f>
        <v>0.1880402186388872</v>
      </c>
      <c r="I71" s="10">
        <v>4.0575259999999997E-3</v>
      </c>
      <c r="J71" s="8">
        <v>6.2560690000000004E-3</v>
      </c>
      <c r="K71">
        <v>1.764568E-3</v>
      </c>
      <c r="L71" s="6">
        <v>4.0575259999999997E-3</v>
      </c>
      <c r="M71" s="7">
        <v>6.2560690000000004E-3</v>
      </c>
      <c r="N71">
        <v>1.764568E-3</v>
      </c>
      <c r="O71" s="2" t="s">
        <v>46</v>
      </c>
      <c r="P71" s="2" t="s">
        <v>45</v>
      </c>
    </row>
    <row r="72" spans="1:16">
      <c r="A72" s="1">
        <v>42596</v>
      </c>
      <c r="B72">
        <v>33.336300000000001</v>
      </c>
      <c r="C72">
        <v>-76.116799999999998</v>
      </c>
      <c r="D72">
        <v>2</v>
      </c>
      <c r="E72">
        <v>7.0751679999999997E-3</v>
      </c>
      <c r="F72">
        <v>6.3091570000000001E-3</v>
      </c>
      <c r="G72">
        <v>2.0702379999999999E-3</v>
      </c>
      <c r="H72" s="12">
        <f>IFERROR(LOG10(J72/I72),"")</f>
        <v>-4.976535809469905E-2</v>
      </c>
      <c r="I72" s="10">
        <v>3.1562869999999998E-3</v>
      </c>
      <c r="J72" s="8">
        <v>2.8145639999999999E-3</v>
      </c>
      <c r="K72">
        <v>9.2354899999999996E-4</v>
      </c>
      <c r="L72" s="6">
        <v>3.1562869999999998E-3</v>
      </c>
      <c r="M72" s="7">
        <v>2.8145639999999999E-3</v>
      </c>
      <c r="N72">
        <v>9.2354899999999996E-4</v>
      </c>
      <c r="O72" s="2" t="s">
        <v>46</v>
      </c>
      <c r="P72" s="2" t="s">
        <v>45</v>
      </c>
    </row>
    <row r="73" spans="1:16">
      <c r="A73" s="1">
        <v>42596</v>
      </c>
      <c r="B73">
        <v>33.333100000000002</v>
      </c>
      <c r="C73">
        <v>-75.616100000000003</v>
      </c>
      <c r="D73">
        <v>93</v>
      </c>
      <c r="E73">
        <v>5.1827970000000003E-3</v>
      </c>
      <c r="F73">
        <v>3.4850369999999999E-3</v>
      </c>
      <c r="G73">
        <v>7.6157020000000002E-3</v>
      </c>
      <c r="H73" s="12">
        <f>IFERROR(LOG10(J73/I73),"")</f>
        <v>-0.17235672417234391</v>
      </c>
      <c r="I73" s="10">
        <v>2.3049009999999998E-3</v>
      </c>
      <c r="J73" s="8">
        <v>1.549871E-3</v>
      </c>
      <c r="K73">
        <v>3.386867E-3</v>
      </c>
      <c r="L73" s="6">
        <v>2.3049009999999998E-3</v>
      </c>
      <c r="M73" s="7">
        <v>1.549871E-3</v>
      </c>
      <c r="N73">
        <v>3.386867E-3</v>
      </c>
      <c r="O73" s="2" t="s">
        <v>46</v>
      </c>
      <c r="P73" s="2" t="s">
        <v>45</v>
      </c>
    </row>
    <row r="74" spans="1:16">
      <c r="A74" s="1">
        <v>42596</v>
      </c>
      <c r="B74">
        <v>33.333100000000002</v>
      </c>
      <c r="C74">
        <v>-75.616100000000003</v>
      </c>
      <c r="D74">
        <v>2</v>
      </c>
      <c r="E74">
        <v>5.265194E-3</v>
      </c>
      <c r="F74">
        <v>7.9181410000000001E-3</v>
      </c>
      <c r="G74">
        <v>2.775296E-3</v>
      </c>
      <c r="H74" s="12">
        <f>IFERROR(LOG10(J74/I74),"")</f>
        <v>0.17720881188846743</v>
      </c>
      <c r="I74" s="10">
        <v>1.8417220000000001E-3</v>
      </c>
      <c r="J74" s="8">
        <v>2.7697009999999998E-3</v>
      </c>
      <c r="K74">
        <v>9.7077600000000002E-4</v>
      </c>
      <c r="L74" s="6">
        <v>1.8417220000000001E-3</v>
      </c>
      <c r="M74" s="7">
        <v>2.7697009999999998E-3</v>
      </c>
      <c r="N74">
        <v>9.7077600000000002E-4</v>
      </c>
      <c r="O74" s="2" t="s">
        <v>46</v>
      </c>
      <c r="P74" s="2" t="s">
        <v>45</v>
      </c>
    </row>
    <row r="75" spans="1:16">
      <c r="A75" s="1">
        <v>42597</v>
      </c>
      <c r="B75">
        <v>33.999000000000002</v>
      </c>
      <c r="C75">
        <v>-75.330500000000001</v>
      </c>
      <c r="D75">
        <v>110</v>
      </c>
      <c r="E75">
        <v>3.424308E-3</v>
      </c>
      <c r="F75">
        <v>3.628507E-3</v>
      </c>
      <c r="G75">
        <v>7.4826700000000005E-4</v>
      </c>
      <c r="H75" s="12">
        <f>IFERROR(LOG10(J75/I75),"")</f>
        <v>2.5155127256296577E-2</v>
      </c>
      <c r="I75" s="10">
        <v>1.293413E-3</v>
      </c>
      <c r="J75" s="8">
        <v>1.370542E-3</v>
      </c>
      <c r="K75">
        <v>2.82632E-4</v>
      </c>
      <c r="L75" s="6">
        <v>1.293413E-3</v>
      </c>
      <c r="M75" s="7">
        <v>1.370542E-3</v>
      </c>
      <c r="N75">
        <v>2.82632E-4</v>
      </c>
      <c r="O75" s="2" t="s">
        <v>46</v>
      </c>
      <c r="P75" s="2" t="s">
        <v>45</v>
      </c>
    </row>
    <row r="76" spans="1:16">
      <c r="A76" s="1">
        <v>42597</v>
      </c>
      <c r="B76">
        <v>33.999000000000002</v>
      </c>
      <c r="C76">
        <v>-75.330500000000001</v>
      </c>
      <c r="D76">
        <v>1.9</v>
      </c>
      <c r="E76">
        <v>7.3980979999999997E-3</v>
      </c>
      <c r="F76">
        <v>5.6308360000000002E-3</v>
      </c>
      <c r="G76">
        <v>2.142106E-3</v>
      </c>
      <c r="H76" s="12">
        <f>IFERROR(LOG10(J76/I76),"")</f>
        <v>-0.11854722140859332</v>
      </c>
      <c r="I76" s="10">
        <v>2.5271199999999999E-3</v>
      </c>
      <c r="J76" s="8">
        <v>1.92344E-3</v>
      </c>
      <c r="K76">
        <v>7.3172299999999999E-4</v>
      </c>
      <c r="L76" s="6">
        <v>2.5271199999999999E-3</v>
      </c>
      <c r="M76" s="7">
        <v>1.92344E-3</v>
      </c>
      <c r="N76">
        <v>7.3172299999999999E-4</v>
      </c>
      <c r="O76" s="2" t="s">
        <v>46</v>
      </c>
      <c r="P76" s="2" t="s">
        <v>45</v>
      </c>
    </row>
    <row r="77" spans="1:16">
      <c r="A77" s="1">
        <v>42597</v>
      </c>
      <c r="B77">
        <v>34.006599999999999</v>
      </c>
      <c r="C77">
        <v>-75.844099999999997</v>
      </c>
      <c r="D77">
        <v>115</v>
      </c>
      <c r="E77">
        <v>4.9499660000000001E-3</v>
      </c>
      <c r="F77">
        <v>7.4723080000000004E-3</v>
      </c>
      <c r="G77">
        <v>2.6242280000000002E-3</v>
      </c>
      <c r="H77" s="12">
        <f>IFERROR(LOG10(J77/I77),"")</f>
        <v>0.17885254648286691</v>
      </c>
      <c r="I77" s="10">
        <v>2.8931180000000001E-3</v>
      </c>
      <c r="J77" s="8">
        <v>4.3673569999999997E-3</v>
      </c>
      <c r="K77">
        <v>1.533789E-3</v>
      </c>
      <c r="L77" s="6">
        <v>2.8931180000000001E-3</v>
      </c>
      <c r="M77" s="7">
        <v>4.3673569999999997E-3</v>
      </c>
      <c r="N77">
        <v>1.533789E-3</v>
      </c>
      <c r="O77" s="2" t="s">
        <v>46</v>
      </c>
      <c r="P77" s="2" t="s">
        <v>45</v>
      </c>
    </row>
    <row r="78" spans="1:16">
      <c r="A78" s="1">
        <v>42597</v>
      </c>
      <c r="B78">
        <v>34.006599999999999</v>
      </c>
      <c r="C78">
        <v>-75.844099999999997</v>
      </c>
      <c r="D78">
        <v>2</v>
      </c>
      <c r="E78">
        <v>4.3386040000000002E-3</v>
      </c>
      <c r="F78">
        <v>8.4572069999999996E-3</v>
      </c>
      <c r="G78">
        <v>3.3741180000000002E-3</v>
      </c>
      <c r="H78" s="12">
        <f>IFERROR(LOG10(J78/I78),"")</f>
        <v>0.28987699169849274</v>
      </c>
      <c r="I78" s="10">
        <v>2.1857280000000001E-3</v>
      </c>
      <c r="J78" s="8">
        <v>4.2606229999999998E-3</v>
      </c>
      <c r="K78">
        <v>1.6998339999999999E-3</v>
      </c>
      <c r="L78" s="6">
        <v>2.1857280000000001E-3</v>
      </c>
      <c r="M78" s="7">
        <v>4.2606229999999998E-3</v>
      </c>
      <c r="N78">
        <v>1.6998339999999999E-3</v>
      </c>
      <c r="O78" s="2" t="s">
        <v>46</v>
      </c>
      <c r="P78" s="2" t="s">
        <v>45</v>
      </c>
    </row>
    <row r="79" spans="1:16">
      <c r="A79" s="1">
        <v>42597</v>
      </c>
      <c r="B79">
        <v>34.000500000000002</v>
      </c>
      <c r="C79">
        <v>-76.252300000000005</v>
      </c>
      <c r="D79">
        <v>55</v>
      </c>
      <c r="E79">
        <v>2.5513699000000001E-2</v>
      </c>
      <c r="F79">
        <v>4.2169340000000003E-3</v>
      </c>
      <c r="G79">
        <v>5.7998299999999995E-4</v>
      </c>
      <c r="H79" s="12">
        <f>IFERROR(LOG10(J79/I79),"")</f>
        <v>-0.78177664030562022</v>
      </c>
      <c r="I79" s="10">
        <v>3.6581398000000001E-2</v>
      </c>
      <c r="J79" s="8">
        <v>6.0462160000000001E-3</v>
      </c>
      <c r="K79">
        <v>8.3157700000000001E-4</v>
      </c>
      <c r="L79" s="6">
        <v>3.6581398000000001E-2</v>
      </c>
      <c r="M79" s="7">
        <v>6.0462160000000001E-3</v>
      </c>
      <c r="N79">
        <v>8.3157700000000001E-4</v>
      </c>
      <c r="O79" s="2" t="s">
        <v>46</v>
      </c>
      <c r="P79" s="2" t="s">
        <v>45</v>
      </c>
    </row>
    <row r="80" spans="1:16">
      <c r="A80" s="1">
        <v>42597</v>
      </c>
      <c r="B80">
        <v>34.000500000000002</v>
      </c>
      <c r="C80">
        <v>-76.252300000000005</v>
      </c>
      <c r="D80">
        <v>1.4</v>
      </c>
      <c r="E80">
        <v>8.8849800000000007E-3</v>
      </c>
      <c r="F80">
        <v>3.0642554999999998E-2</v>
      </c>
      <c r="G80">
        <v>7.0816020000000002E-3</v>
      </c>
      <c r="H80" s="12">
        <f>IFERROR(LOG10(J80/I80),"")</f>
        <v>0.5376685368911398</v>
      </c>
      <c r="I80" s="10">
        <v>8.4079919999999995E-3</v>
      </c>
      <c r="J80" s="8">
        <v>2.8997518E-2</v>
      </c>
      <c r="K80">
        <v>6.7014279999999997E-3</v>
      </c>
      <c r="L80" s="6">
        <v>8.4079919999999995E-3</v>
      </c>
      <c r="M80" s="7">
        <v>2.8997518E-2</v>
      </c>
      <c r="N80">
        <v>6.7014279999999997E-3</v>
      </c>
      <c r="O80" s="2" t="s">
        <v>46</v>
      </c>
      <c r="P80" s="2" t="s">
        <v>45</v>
      </c>
    </row>
    <row r="81" spans="1:16">
      <c r="A81" s="1">
        <v>42598</v>
      </c>
      <c r="B81">
        <v>34.004600000000003</v>
      </c>
      <c r="C81">
        <v>-77.369500000000002</v>
      </c>
      <c r="D81">
        <v>17.899999999999999</v>
      </c>
      <c r="E81">
        <v>5.491218E-3</v>
      </c>
      <c r="F81">
        <v>1.0163294999999999E-2</v>
      </c>
      <c r="G81">
        <v>4.6314260000000001E-3</v>
      </c>
      <c r="H81" s="12">
        <f>IFERROR(LOG10(J81/I81),"")</f>
        <v>0.26736586474942936</v>
      </c>
      <c r="I81" s="10">
        <v>8.1506259999999994E-3</v>
      </c>
      <c r="J81" s="8">
        <v>1.5085400000000001E-2</v>
      </c>
      <c r="K81">
        <v>6.8744349999999999E-3</v>
      </c>
      <c r="L81" s="6">
        <v>8.1506259999999994E-3</v>
      </c>
      <c r="M81" s="7">
        <v>1.5085400000000001E-2</v>
      </c>
      <c r="N81">
        <v>6.8744349999999999E-3</v>
      </c>
      <c r="O81" s="2" t="s">
        <v>46</v>
      </c>
      <c r="P81" s="2" t="s">
        <v>374</v>
      </c>
    </row>
    <row r="82" spans="1:16">
      <c r="A82" s="1">
        <v>42598</v>
      </c>
      <c r="B82">
        <v>34.004600000000003</v>
      </c>
      <c r="C82">
        <v>-77.369500000000002</v>
      </c>
      <c r="D82">
        <v>22.9</v>
      </c>
      <c r="E82">
        <v>5.6379899999999998E-3</v>
      </c>
      <c r="F82">
        <v>1.162351E-2</v>
      </c>
      <c r="G82">
        <v>7.1842490000000002E-3</v>
      </c>
      <c r="H82" s="12">
        <f>IFERROR(LOG10(J82/I82),"")</f>
        <v>0.3142129571287674</v>
      </c>
      <c r="I82" s="10">
        <v>9.6861329999999995E-3</v>
      </c>
      <c r="J82" s="8">
        <v>1.9969325E-2</v>
      </c>
      <c r="K82">
        <v>1.2342623E-2</v>
      </c>
      <c r="L82" s="6">
        <v>9.6861329999999995E-3</v>
      </c>
      <c r="M82" s="7">
        <v>1.9969325E-2</v>
      </c>
      <c r="N82">
        <v>1.2342623E-2</v>
      </c>
      <c r="O82" s="2" t="s">
        <v>46</v>
      </c>
      <c r="P82" s="2" t="s">
        <v>45</v>
      </c>
    </row>
    <row r="83" spans="1:16">
      <c r="A83" s="1">
        <v>42598</v>
      </c>
      <c r="B83">
        <v>34.004600000000003</v>
      </c>
      <c r="C83">
        <v>-77.369500000000002</v>
      </c>
      <c r="D83">
        <v>1.9</v>
      </c>
      <c r="E83">
        <v>4.516094E-3</v>
      </c>
      <c r="F83">
        <v>5.9495440000000002E-3</v>
      </c>
      <c r="G83">
        <v>9.0210300000000002E-4</v>
      </c>
      <c r="H83" s="12">
        <f>IFERROR(LOG10(J83/I83),"")</f>
        <v>0.11972071057022775</v>
      </c>
      <c r="I83" s="10">
        <v>5.9673369999999996E-3</v>
      </c>
      <c r="J83" s="8">
        <v>7.861425E-3</v>
      </c>
      <c r="K83">
        <v>1.1919929999999999E-3</v>
      </c>
      <c r="L83" s="6">
        <v>5.9673369999999996E-3</v>
      </c>
      <c r="M83" s="7">
        <v>7.861425E-3</v>
      </c>
      <c r="N83">
        <v>1.1919929999999999E-3</v>
      </c>
      <c r="O83" s="2" t="s">
        <v>46</v>
      </c>
      <c r="P83" s="2" t="s">
        <v>45</v>
      </c>
    </row>
    <row r="84" spans="1:16">
      <c r="A84" s="1">
        <v>42598</v>
      </c>
      <c r="B84">
        <v>34.536299999999997</v>
      </c>
      <c r="C84">
        <v>-76.400300000000001</v>
      </c>
      <c r="D84">
        <v>18</v>
      </c>
      <c r="E84">
        <v>4.2016629999999996E-3</v>
      </c>
      <c r="F84">
        <v>7.7275959999999998E-3</v>
      </c>
      <c r="G84">
        <v>5.3696330000000004E-3</v>
      </c>
      <c r="H84" s="12">
        <f>IFERROR(LOG10(J84/I84),"")</f>
        <v>0.26462323341333327</v>
      </c>
      <c r="I84" s="10">
        <v>1.1087638E-2</v>
      </c>
      <c r="J84" s="8">
        <v>2.0392114999999999E-2</v>
      </c>
      <c r="K84">
        <v>1.4169757999999999E-2</v>
      </c>
      <c r="L84" s="6">
        <v>1.1087638E-2</v>
      </c>
      <c r="M84" s="7">
        <v>2.0392114999999999E-2</v>
      </c>
      <c r="N84">
        <v>1.4169757999999999E-2</v>
      </c>
      <c r="O84" s="2" t="s">
        <v>46</v>
      </c>
      <c r="P84" s="2" t="s">
        <v>45</v>
      </c>
    </row>
    <row r="85" spans="1:16">
      <c r="A85" s="1">
        <v>42598</v>
      </c>
      <c r="B85">
        <v>34.536299999999997</v>
      </c>
      <c r="C85">
        <v>-76.400300000000001</v>
      </c>
      <c r="D85">
        <v>8.9</v>
      </c>
      <c r="E85">
        <v>8.1658640000000001E-3</v>
      </c>
      <c r="F85">
        <v>1.6389257000000001E-2</v>
      </c>
      <c r="G85">
        <v>1.2170468E-2</v>
      </c>
      <c r="H85" s="12">
        <f>IFERROR(LOG10(J85/I85),"")</f>
        <v>0.30255714308750103</v>
      </c>
      <c r="I85" s="10">
        <v>1.1955879000000001E-2</v>
      </c>
      <c r="J85" s="8">
        <v>2.3995988999999999E-2</v>
      </c>
      <c r="K85">
        <v>1.7819136999999999E-2</v>
      </c>
      <c r="L85" s="6">
        <v>1.1955879000000001E-2</v>
      </c>
      <c r="M85" s="7">
        <v>2.3995988999999999E-2</v>
      </c>
      <c r="N85">
        <v>1.7819136999999999E-2</v>
      </c>
      <c r="O85" s="2" t="s">
        <v>46</v>
      </c>
      <c r="P85" s="2" t="s">
        <v>45</v>
      </c>
    </row>
    <row r="86" spans="1:16">
      <c r="A86" s="1">
        <v>42598</v>
      </c>
      <c r="B86">
        <v>34.536299999999997</v>
      </c>
      <c r="C86">
        <v>-76.400300000000001</v>
      </c>
      <c r="D86">
        <v>1.5</v>
      </c>
      <c r="E86">
        <v>8.4272449999999999E-3</v>
      </c>
      <c r="F86">
        <v>1.5764975000000001E-2</v>
      </c>
      <c r="G86">
        <v>7.2471369999999998E-3</v>
      </c>
      <c r="H86" s="12">
        <f>IFERROR(LOG10(J86/I86),"")</f>
        <v>0.2720076844852532</v>
      </c>
      <c r="I86" s="10">
        <v>7.9300840000000004E-3</v>
      </c>
      <c r="J86" s="8">
        <v>1.4834929E-2</v>
      </c>
      <c r="K86">
        <v>6.8195959999999998E-3</v>
      </c>
      <c r="L86" s="6">
        <v>7.9300840000000004E-3</v>
      </c>
      <c r="M86" s="7">
        <v>1.4834929E-2</v>
      </c>
      <c r="N86">
        <v>6.8195959999999998E-3</v>
      </c>
      <c r="O86" s="2" t="s">
        <v>46</v>
      </c>
      <c r="P86" s="2" t="s">
        <v>45</v>
      </c>
    </row>
    <row r="87" spans="1:16">
      <c r="A87" s="1">
        <v>42598</v>
      </c>
      <c r="B87">
        <v>34.534599999999998</v>
      </c>
      <c r="C87">
        <v>-75.465500000000006</v>
      </c>
      <c r="D87">
        <v>120</v>
      </c>
      <c r="E87">
        <v>6.7230839999999998E-3</v>
      </c>
      <c r="F87">
        <v>2.1264389999999999E-3</v>
      </c>
      <c r="G87">
        <v>2.3636809999999999E-3</v>
      </c>
      <c r="H87" s="12">
        <f>IFERROR(LOG10(J87/I87),"")</f>
        <v>-0.49991561381055177</v>
      </c>
      <c r="I87" s="10">
        <v>4.4465980000000004E-3</v>
      </c>
      <c r="J87" s="8">
        <v>1.406411E-3</v>
      </c>
      <c r="K87">
        <v>1.5633209999999999E-3</v>
      </c>
      <c r="L87" s="6">
        <v>4.4465980000000004E-3</v>
      </c>
      <c r="M87" s="7">
        <v>1.406411E-3</v>
      </c>
      <c r="N87">
        <v>1.5633209999999999E-3</v>
      </c>
      <c r="O87" s="2" t="s">
        <v>46</v>
      </c>
      <c r="P87" s="2" t="s">
        <v>45</v>
      </c>
    </row>
    <row r="88" spans="1:16">
      <c r="A88" s="1">
        <v>42598</v>
      </c>
      <c r="B88">
        <v>34.534599999999998</v>
      </c>
      <c r="C88">
        <v>-75.465500000000006</v>
      </c>
      <c r="D88">
        <v>40</v>
      </c>
      <c r="E88">
        <v>7.6115979999999998E-3</v>
      </c>
      <c r="F88">
        <v>4.0941290000000002E-3</v>
      </c>
      <c r="G88">
        <v>1.6243609999999999E-3</v>
      </c>
      <c r="H88" s="12">
        <f>IFERROR(LOG10(J88/I88),"")</f>
        <v>-0.26931426017497917</v>
      </c>
      <c r="I88" s="10">
        <v>6.1477529999999997E-3</v>
      </c>
      <c r="J88" s="8">
        <v>3.3067560000000001E-3</v>
      </c>
      <c r="K88">
        <v>1.3119679999999999E-3</v>
      </c>
      <c r="L88" s="6">
        <v>6.1477529999999997E-3</v>
      </c>
      <c r="M88" s="7">
        <v>3.3067560000000001E-3</v>
      </c>
      <c r="N88">
        <v>1.3119679999999999E-3</v>
      </c>
      <c r="O88" s="2" t="s">
        <v>46</v>
      </c>
      <c r="P88" s="2" t="s">
        <v>45</v>
      </c>
    </row>
    <row r="89" spans="1:16">
      <c r="A89" s="1">
        <v>42598</v>
      </c>
      <c r="B89">
        <v>34.534599999999998</v>
      </c>
      <c r="C89">
        <v>-75.465500000000006</v>
      </c>
      <c r="D89">
        <v>1.2</v>
      </c>
      <c r="E89">
        <v>4.9088730000000002E-3</v>
      </c>
      <c r="F89">
        <v>2.0902749999999999E-3</v>
      </c>
      <c r="G89">
        <v>6.86752E-4</v>
      </c>
      <c r="H89" s="12">
        <f>IFERROR(LOG10(J89/I89),"")</f>
        <v>-0.37077841064985112</v>
      </c>
      <c r="I89" s="10">
        <v>2.4014219999999998E-3</v>
      </c>
      <c r="J89" s="8">
        <v>1.022563E-3</v>
      </c>
      <c r="K89">
        <v>3.3595899999999999E-4</v>
      </c>
      <c r="L89" s="6">
        <v>2.4014219999999998E-3</v>
      </c>
      <c r="M89" s="7">
        <v>1.022563E-3</v>
      </c>
      <c r="N89">
        <v>3.3595899999999999E-4</v>
      </c>
      <c r="O89" s="2" t="s">
        <v>46</v>
      </c>
      <c r="P89" s="2" t="s">
        <v>45</v>
      </c>
    </row>
    <row r="90" spans="1:16">
      <c r="A90" s="1">
        <v>42598</v>
      </c>
      <c r="B90">
        <v>34.534599999999998</v>
      </c>
      <c r="C90">
        <v>-75.465500000000006</v>
      </c>
      <c r="D90">
        <v>300</v>
      </c>
      <c r="E90">
        <v>1.719927E-3</v>
      </c>
      <c r="F90">
        <v>1.93675E-4</v>
      </c>
      <c r="G90">
        <v>3.295142E-3</v>
      </c>
      <c r="H90" s="12">
        <f>IFERROR(LOG10(J90/I90),"")</f>
        <v>-0.94848522538757796</v>
      </c>
      <c r="I90" s="10">
        <v>5.95059E-4</v>
      </c>
      <c r="J90" s="8">
        <v>6.7000000000000002E-5</v>
      </c>
      <c r="K90">
        <v>1.140051E-3</v>
      </c>
      <c r="L90" s="6">
        <v>5.95059E-4</v>
      </c>
      <c r="M90" s="7">
        <v>6.7000000000000002E-5</v>
      </c>
      <c r="N90">
        <v>1.140051E-3</v>
      </c>
      <c r="O90" s="2" t="s">
        <v>46</v>
      </c>
      <c r="P90" s="2" t="s">
        <v>45</v>
      </c>
    </row>
    <row r="91" spans="1:16">
      <c r="A91" s="1">
        <v>42599</v>
      </c>
      <c r="B91">
        <v>34.530099999999997</v>
      </c>
      <c r="C91">
        <v>-74.539100000000005</v>
      </c>
      <c r="D91">
        <v>107.5</v>
      </c>
      <c r="E91">
        <v>2.9389889999999999E-3</v>
      </c>
      <c r="F91">
        <v>2.8217559999999999E-3</v>
      </c>
      <c r="G91">
        <v>4.1398599999999998E-4</v>
      </c>
      <c r="H91" s="12">
        <f>IFERROR(LOG10(J91/I91),"")</f>
        <v>-1.7678341945769772E-2</v>
      </c>
      <c r="I91" s="10">
        <v>1.5846409999999999E-3</v>
      </c>
      <c r="J91" s="8">
        <v>1.5214320000000001E-3</v>
      </c>
      <c r="K91">
        <v>2.2321299999999999E-4</v>
      </c>
      <c r="L91" s="6">
        <v>1.5846409999999999E-3</v>
      </c>
      <c r="M91" s="7">
        <v>1.5214320000000001E-3</v>
      </c>
      <c r="N91">
        <v>2.2321299999999999E-4</v>
      </c>
      <c r="O91" s="2" t="s">
        <v>46</v>
      </c>
      <c r="P91" s="2" t="s">
        <v>45</v>
      </c>
    </row>
    <row r="92" spans="1:16">
      <c r="A92" s="1">
        <v>42599</v>
      </c>
      <c r="B92">
        <v>34.530099999999997</v>
      </c>
      <c r="C92">
        <v>-74.539100000000005</v>
      </c>
      <c r="D92">
        <v>81.400000000000006</v>
      </c>
      <c r="E92">
        <v>4.4126499999999997E-3</v>
      </c>
      <c r="F92">
        <v>7.0564130000000001E-3</v>
      </c>
      <c r="G92">
        <v>5.3318899999999999E-4</v>
      </c>
      <c r="H92" s="12">
        <f>IFERROR(LOG10(J92/I92),"")</f>
        <v>0.20388445757078355</v>
      </c>
      <c r="I92" s="10">
        <v>2.4853850000000001E-3</v>
      </c>
      <c r="J92" s="8">
        <v>3.97446E-3</v>
      </c>
      <c r="K92">
        <v>3.0031399999999998E-4</v>
      </c>
      <c r="L92" s="6">
        <v>2.4853850000000001E-3</v>
      </c>
      <c r="M92" s="7">
        <v>3.97446E-3</v>
      </c>
      <c r="N92">
        <v>3.0031399999999998E-4</v>
      </c>
      <c r="O92" s="2" t="s">
        <v>46</v>
      </c>
      <c r="P92" s="2" t="s">
        <v>45</v>
      </c>
    </row>
    <row r="93" spans="1:16">
      <c r="A93" s="1">
        <v>42599</v>
      </c>
      <c r="B93">
        <v>34.530099999999997</v>
      </c>
      <c r="C93">
        <v>-74.539100000000005</v>
      </c>
      <c r="D93">
        <v>1.7</v>
      </c>
      <c r="E93">
        <v>1.1890632999999999E-2</v>
      </c>
      <c r="F93">
        <v>3.2407569999999999E-3</v>
      </c>
      <c r="G93">
        <v>9.3428300000000005E-4</v>
      </c>
      <c r="H93" s="12">
        <f>IFERROR(LOG10(J93/I93),"")</f>
        <v>-0.5645583395722974</v>
      </c>
      <c r="I93" s="10">
        <v>5.100332E-3</v>
      </c>
      <c r="J93" s="8">
        <v>1.390081E-3</v>
      </c>
      <c r="K93">
        <v>4.0074899999999999E-4</v>
      </c>
      <c r="L93" s="6">
        <v>5.100332E-3</v>
      </c>
      <c r="M93" s="7">
        <v>1.390081E-3</v>
      </c>
      <c r="N93">
        <v>4.0074899999999999E-4</v>
      </c>
      <c r="O93" s="2" t="s">
        <v>46</v>
      </c>
      <c r="P93" s="2" t="s">
        <v>374</v>
      </c>
    </row>
    <row r="94" spans="1:16">
      <c r="A94" s="1">
        <v>35769</v>
      </c>
      <c r="B94">
        <v>-53.030200000000001</v>
      </c>
      <c r="C94">
        <v>-174.71350000000001</v>
      </c>
      <c r="D94">
        <v>2</v>
      </c>
      <c r="H94" s="12" t="str">
        <f>IFERROR(LOG10(J94/I94),"")</f>
        <v/>
      </c>
      <c r="I94" t="str">
        <f>IF(L94="","",L94/1000/1.022)</f>
        <v/>
      </c>
      <c r="J94" t="str">
        <f>IF(M94="","",M94/1000/1.022)</f>
        <v/>
      </c>
      <c r="K94">
        <f>IF(N94="","",N94/1000/1.022)</f>
        <v>2.5645792563600781E-4</v>
      </c>
      <c r="N94">
        <v>0.2621</v>
      </c>
      <c r="P94" s="2" t="s">
        <v>44</v>
      </c>
    </row>
    <row r="95" spans="1:16">
      <c r="A95" s="1">
        <v>35769</v>
      </c>
      <c r="B95">
        <v>-53.030200000000001</v>
      </c>
      <c r="C95">
        <v>-174.71350000000001</v>
      </c>
      <c r="D95">
        <v>11</v>
      </c>
      <c r="H95" s="12" t="str">
        <f>IFERROR(LOG10(J95/I95),"")</f>
        <v/>
      </c>
      <c r="I95">
        <f>IF(L95="","",L95/1000/1.022)</f>
        <v>5.8121330724070452E-5</v>
      </c>
      <c r="J95" t="str">
        <f>IF(M95="","",M95/1000/1.022)</f>
        <v/>
      </c>
      <c r="K95">
        <f>IF(N95="","",N95/1000/1.022)</f>
        <v>1.891389432485323E-4</v>
      </c>
      <c r="L95" s="6">
        <v>5.9400000000000001E-2</v>
      </c>
      <c r="N95">
        <v>0.1933</v>
      </c>
      <c r="P95" s="2" t="s">
        <v>44</v>
      </c>
    </row>
    <row r="96" spans="1:16">
      <c r="A96" s="1">
        <v>35769</v>
      </c>
      <c r="B96">
        <v>-53.030200000000001</v>
      </c>
      <c r="C96">
        <v>-174.71350000000001</v>
      </c>
      <c r="D96">
        <v>21</v>
      </c>
      <c r="H96" s="12" t="str">
        <f>IFERROR(LOG10(J96/I96),"")</f>
        <v/>
      </c>
      <c r="I96" t="str">
        <f>IF(L96="","",L96/1000/1.022)</f>
        <v/>
      </c>
      <c r="J96" t="str">
        <f>IF(M96="","",M96/1000/1.022)</f>
        <v/>
      </c>
      <c r="K96">
        <f>IF(N96="","",N96/1000/1.022)</f>
        <v>3.0499021526418787E-4</v>
      </c>
      <c r="N96">
        <v>0.31169999999999998</v>
      </c>
      <c r="P96" s="2" t="s">
        <v>44</v>
      </c>
    </row>
    <row r="97" spans="1:16">
      <c r="A97" s="1">
        <v>35769</v>
      </c>
      <c r="B97">
        <v>-53.027299999999997</v>
      </c>
      <c r="C97">
        <v>-174.66200000000001</v>
      </c>
      <c r="D97">
        <v>26</v>
      </c>
      <c r="H97" s="12" t="str">
        <f>IFERROR(LOG10(J97/I97),"")</f>
        <v/>
      </c>
      <c r="I97" t="str">
        <f>IF(L97="","",L97/1000/1.022)</f>
        <v/>
      </c>
      <c r="J97" t="str">
        <f>IF(M97="","",M97/1000/1.022)</f>
        <v/>
      </c>
      <c r="K97">
        <f>IF(N97="","",N97/1000/1.022)</f>
        <v>2.5763209393346381E-4</v>
      </c>
      <c r="N97">
        <v>0.26329999999999998</v>
      </c>
      <c r="P97" s="2" t="s">
        <v>44</v>
      </c>
    </row>
    <row r="98" spans="1:16">
      <c r="A98" s="1">
        <v>35769</v>
      </c>
      <c r="B98">
        <v>-53.027299999999997</v>
      </c>
      <c r="C98">
        <v>-174.66200000000001</v>
      </c>
      <c r="D98">
        <v>35</v>
      </c>
      <c r="H98" s="12" t="str">
        <f>IFERROR(LOG10(J98/I98),"")</f>
        <v/>
      </c>
      <c r="I98" t="str">
        <f>IF(L98="","",L98/1000/1.022)</f>
        <v/>
      </c>
      <c r="J98" t="str">
        <f>IF(M98="","",M98/1000/1.022)</f>
        <v/>
      </c>
      <c r="K98">
        <f>IF(N98="","",N98/1000/1.022)</f>
        <v>2.1281800391389431E-4</v>
      </c>
      <c r="N98">
        <v>0.2175</v>
      </c>
      <c r="P98" s="2" t="s">
        <v>44</v>
      </c>
    </row>
    <row r="99" spans="1:16">
      <c r="A99" s="1">
        <v>35769</v>
      </c>
      <c r="B99">
        <v>-53.027299999999997</v>
      </c>
      <c r="C99">
        <v>-174.66200000000001</v>
      </c>
      <c r="D99">
        <v>46</v>
      </c>
      <c r="H99" s="12" t="str">
        <f>IFERROR(LOG10(J99/I99),"")</f>
        <v/>
      </c>
      <c r="I99">
        <f>IF(L99="","",L99/1000/1.022)</f>
        <v>1.4090019569471624E-5</v>
      </c>
      <c r="J99" t="str">
        <f>IF(M99="","",M99/1000/1.022)</f>
        <v/>
      </c>
      <c r="K99">
        <f>IF(N99="","",N99/1000/1.022)</f>
        <v>1.2544031311154599E-4</v>
      </c>
      <c r="L99" s="6">
        <v>1.44E-2</v>
      </c>
      <c r="N99">
        <v>0.12820000000000001</v>
      </c>
      <c r="P99" s="2" t="s">
        <v>44</v>
      </c>
    </row>
    <row r="100" spans="1:16">
      <c r="A100" s="1">
        <v>35769</v>
      </c>
      <c r="B100">
        <v>-53.027299999999997</v>
      </c>
      <c r="C100">
        <v>-174.66200000000001</v>
      </c>
      <c r="D100">
        <v>70</v>
      </c>
      <c r="H100" s="12" t="str">
        <f>IFERROR(LOG10(J100/I100),"")</f>
        <v/>
      </c>
      <c r="I100" t="str">
        <f>IF(L100="","",L100/1000/1.022)</f>
        <v/>
      </c>
      <c r="J100" t="str">
        <f>IF(M100="","",M100/1000/1.022)</f>
        <v/>
      </c>
      <c r="K100">
        <f>IF(N100="","",N100/1000/1.022)</f>
        <v>2.0743639921722113E-5</v>
      </c>
      <c r="N100">
        <v>2.12E-2</v>
      </c>
      <c r="P100" s="2" t="s">
        <v>44</v>
      </c>
    </row>
    <row r="101" spans="1:16">
      <c r="A101" s="1">
        <v>35769</v>
      </c>
      <c r="B101">
        <v>-53.027299999999997</v>
      </c>
      <c r="C101">
        <v>-174.66200000000001</v>
      </c>
      <c r="D101">
        <v>105</v>
      </c>
      <c r="H101" s="12" t="str">
        <f>IFERROR(LOG10(J101/I101),"")</f>
        <v/>
      </c>
      <c r="I101" t="str">
        <f>IF(L101="","",L101/1000/1.022)</f>
        <v/>
      </c>
      <c r="J101" t="str">
        <f>IF(M101="","",M101/1000/1.022)</f>
        <v/>
      </c>
      <c r="K101">
        <f>IF(N101="","",N101/1000/1.022)</f>
        <v>0</v>
      </c>
      <c r="N101">
        <v>0</v>
      </c>
      <c r="P101" s="2" t="s">
        <v>44</v>
      </c>
    </row>
    <row r="102" spans="1:16">
      <c r="A102" s="1">
        <v>35771</v>
      </c>
      <c r="B102">
        <v>-56.843299999999999</v>
      </c>
      <c r="C102">
        <v>-170.16249999999999</v>
      </c>
      <c r="D102">
        <v>4</v>
      </c>
      <c r="H102" s="12" t="str">
        <f>IFERROR(LOG10(J102/I102),"")</f>
        <v/>
      </c>
      <c r="I102" t="str">
        <f>IF(L102="","",L102/1000/1.022)</f>
        <v/>
      </c>
      <c r="J102">
        <f>IF(M102="","",M102/1000/1.022)</f>
        <v>8.2485322896281796E-5</v>
      </c>
      <c r="K102">
        <f>IF(N102="","",N102/1000/1.022)</f>
        <v>1.7710371819960863E-5</v>
      </c>
      <c r="M102" s="7">
        <v>8.43E-2</v>
      </c>
      <c r="N102">
        <v>1.8100000000000002E-2</v>
      </c>
      <c r="P102" s="2" t="s">
        <v>44</v>
      </c>
    </row>
    <row r="103" spans="1:16">
      <c r="A103" s="1">
        <v>35771</v>
      </c>
      <c r="B103">
        <v>-56.843299999999999</v>
      </c>
      <c r="C103">
        <v>-170.16249999999999</v>
      </c>
      <c r="D103">
        <v>17</v>
      </c>
      <c r="H103" s="12">
        <f>IFERROR(LOG10(J103/I103),"")</f>
        <v>-0.5392691614685069</v>
      </c>
      <c r="I103">
        <f>IF(L103="","",L103/1000/1.022)</f>
        <v>8.8062622309197637E-6</v>
      </c>
      <c r="J103">
        <f>IF(M103="","",M103/1000/1.022)</f>
        <v>2.5440313111545986E-6</v>
      </c>
      <c r="K103">
        <f>IF(N103="","",N103/1000/1.022)</f>
        <v>1.8590998043052838E-5</v>
      </c>
      <c r="L103" s="6">
        <v>8.9999999999999993E-3</v>
      </c>
      <c r="M103" s="7">
        <v>2.5999999999999999E-3</v>
      </c>
      <c r="N103">
        <v>1.9E-2</v>
      </c>
      <c r="P103" s="2" t="s">
        <v>44</v>
      </c>
    </row>
    <row r="104" spans="1:16">
      <c r="A104" s="1">
        <v>35771</v>
      </c>
      <c r="B104">
        <v>-56.843299999999999</v>
      </c>
      <c r="C104">
        <v>-170.16249999999999</v>
      </c>
      <c r="D104">
        <v>34</v>
      </c>
      <c r="H104" s="12" t="str">
        <f>IFERROR(LOG10(J104/I104),"")</f>
        <v/>
      </c>
      <c r="I104" t="str">
        <f>IF(L104="","",L104/1000/1.022)</f>
        <v/>
      </c>
      <c r="J104">
        <f>IF(M104="","",M104/1000/1.022)</f>
        <v>4.5009784735812136E-6</v>
      </c>
      <c r="K104">
        <f>IF(N104="","",N104/1000/1.022)</f>
        <v>2.700587084148728E-5</v>
      </c>
      <c r="M104" s="7">
        <v>4.5999999999999999E-3</v>
      </c>
      <c r="N104">
        <v>2.76E-2</v>
      </c>
      <c r="P104" s="2" t="s">
        <v>44</v>
      </c>
    </row>
    <row r="105" spans="1:16">
      <c r="A105" s="1">
        <v>35771</v>
      </c>
      <c r="B105">
        <v>-56.843200000000003</v>
      </c>
      <c r="C105">
        <v>-170.16229999999999</v>
      </c>
      <c r="D105">
        <v>42</v>
      </c>
      <c r="H105" s="12" t="str">
        <f>IFERROR(LOG10(J105/I105),"")</f>
        <v/>
      </c>
      <c r="I105" t="str">
        <f>IF(L105="","",L105/1000/1.022)</f>
        <v/>
      </c>
      <c r="J105" t="str">
        <f>IF(M105="","",M105/1000/1.022)</f>
        <v/>
      </c>
      <c r="K105">
        <f>IF(N105="","",N105/1000/1.022)</f>
        <v>9.1976516634050873E-6</v>
      </c>
      <c r="N105">
        <v>9.4000000000000004E-3</v>
      </c>
      <c r="P105" s="2" t="s">
        <v>44</v>
      </c>
    </row>
    <row r="106" spans="1:16">
      <c r="A106" s="1">
        <v>35771</v>
      </c>
      <c r="B106">
        <v>-56.843200000000003</v>
      </c>
      <c r="C106">
        <v>-170.16229999999999</v>
      </c>
      <c r="D106">
        <v>56</v>
      </c>
      <c r="H106" s="12" t="str">
        <f>IFERROR(LOG10(J106/I106),"")</f>
        <v/>
      </c>
      <c r="I106" t="str">
        <f>IF(L106="","",L106/1000/1.022)</f>
        <v/>
      </c>
      <c r="J106">
        <f>IF(M106="","",M106/1000/1.022)</f>
        <v>1.1937377690802349E-5</v>
      </c>
      <c r="K106">
        <f>IF(N106="","",N106/1000/1.022)</f>
        <v>1.3209393346379646E-5</v>
      </c>
      <c r="M106" s="7">
        <v>1.2200000000000001E-2</v>
      </c>
      <c r="N106">
        <v>1.35E-2</v>
      </c>
      <c r="P106" s="2" t="s">
        <v>44</v>
      </c>
    </row>
    <row r="107" spans="1:16">
      <c r="A107" s="1">
        <v>35771</v>
      </c>
      <c r="B107">
        <v>-56.843200000000003</v>
      </c>
      <c r="C107">
        <v>-170.16229999999999</v>
      </c>
      <c r="D107">
        <v>73</v>
      </c>
      <c r="H107" s="12">
        <f>IFERROR(LOG10(J107/I107),"")</f>
        <v>-1.639041618816937E-2</v>
      </c>
      <c r="I107">
        <f>IF(L107="","",L107/1000/1.022)</f>
        <v>2.1135029354207436E-5</v>
      </c>
      <c r="J107">
        <f>IF(M107="","",M107/1000/1.022)</f>
        <v>2.0352250489236789E-5</v>
      </c>
      <c r="K107">
        <f>IF(N107="","",N107/1000/1.022)</f>
        <v>1.0371819960861056E-5</v>
      </c>
      <c r="L107" s="6">
        <v>2.1600000000000001E-2</v>
      </c>
      <c r="M107" s="7">
        <v>2.0799999999999999E-2</v>
      </c>
      <c r="N107">
        <v>1.06E-2</v>
      </c>
      <c r="P107" s="2" t="s">
        <v>44</v>
      </c>
    </row>
    <row r="108" spans="1:16">
      <c r="A108" s="1">
        <v>35771</v>
      </c>
      <c r="B108">
        <v>-56.843200000000003</v>
      </c>
      <c r="C108">
        <v>-170.16229999999999</v>
      </c>
      <c r="D108">
        <v>112</v>
      </c>
      <c r="H108" s="12" t="str">
        <f>IFERROR(LOG10(J108/I108),"")</f>
        <v/>
      </c>
      <c r="I108" t="str">
        <f>IF(L108="","",L108/1000/1.022)</f>
        <v/>
      </c>
      <c r="J108">
        <f>IF(M108="","",M108/1000/1.022)</f>
        <v>1.5949119373776908E-5</v>
      </c>
      <c r="K108">
        <f>IF(N108="","",N108/1000/1.022)</f>
        <v>6.2622309197651663E-6</v>
      </c>
      <c r="M108" s="7">
        <v>1.6299999999999999E-2</v>
      </c>
      <c r="N108">
        <v>6.4000000000000003E-3</v>
      </c>
      <c r="P108" s="2" t="s">
        <v>44</v>
      </c>
    </row>
    <row r="109" spans="1:16">
      <c r="A109" s="1">
        <v>35771</v>
      </c>
      <c r="B109">
        <v>-56.843200000000003</v>
      </c>
      <c r="C109">
        <v>-170.16229999999999</v>
      </c>
      <c r="D109">
        <v>167</v>
      </c>
      <c r="H109" s="12" t="str">
        <f>IFERROR(LOG10(J109/I109),"")</f>
        <v/>
      </c>
      <c r="I109" t="str">
        <f>IF(L109="","",L109/1000/1.022)</f>
        <v/>
      </c>
      <c r="J109">
        <f>IF(M109="","",M109/1000/1.022)</f>
        <v>9.7847358121330724E-8</v>
      </c>
      <c r="K109">
        <f>IF(N109="","",N109/1000/1.022)</f>
        <v>3.2289628180039141E-6</v>
      </c>
      <c r="M109" s="7">
        <v>1E-4</v>
      </c>
      <c r="N109">
        <v>3.3E-3</v>
      </c>
      <c r="P109" s="2" t="s">
        <v>44</v>
      </c>
    </row>
    <row r="110" spans="1:16">
      <c r="A110" s="1">
        <v>35773</v>
      </c>
      <c r="B110">
        <v>-60.231720000000003</v>
      </c>
      <c r="C110">
        <v>-170.06786</v>
      </c>
      <c r="D110">
        <v>260</v>
      </c>
      <c r="H110" s="12" t="str">
        <f>IFERROR(LOG10(J110/I110),"")</f>
        <v/>
      </c>
      <c r="I110" t="str">
        <f>IF(L110="","",L110/1000/1.022)</f>
        <v/>
      </c>
      <c r="J110" t="str">
        <f>IF(M110="","",M110/1000/1.022)</f>
        <v/>
      </c>
      <c r="K110" t="str">
        <f>IF(N110="","",N110/1000/1.022)</f>
        <v/>
      </c>
      <c r="N110"/>
      <c r="P110" s="2" t="s">
        <v>44</v>
      </c>
    </row>
    <row r="111" spans="1:16">
      <c r="A111" s="1">
        <v>35775</v>
      </c>
      <c r="B111">
        <v>-60.23</v>
      </c>
      <c r="C111">
        <v>-170.07130000000001</v>
      </c>
      <c r="D111">
        <v>2</v>
      </c>
      <c r="H111" s="12" t="str">
        <f>IFERROR(LOG10(J111/I111),"")</f>
        <v/>
      </c>
      <c r="I111" t="str">
        <f>IF(L111="","",L111/1000/1.022)</f>
        <v/>
      </c>
      <c r="J111" t="str">
        <f>IF(M111="","",M111/1000/1.022)</f>
        <v/>
      </c>
      <c r="K111">
        <f>IF(N111="","",N111/1000/1.022)</f>
        <v>1.0772994129158513E-4</v>
      </c>
      <c r="N111">
        <v>0.1101</v>
      </c>
      <c r="P111" s="2" t="s">
        <v>44</v>
      </c>
    </row>
    <row r="112" spans="1:16">
      <c r="A112" s="1">
        <v>35775</v>
      </c>
      <c r="B112">
        <v>-60.23</v>
      </c>
      <c r="C112">
        <v>-170.07130000000001</v>
      </c>
      <c r="D112">
        <v>6</v>
      </c>
      <c r="H112" s="12" t="str">
        <f>IFERROR(LOG10(J112/I112),"")</f>
        <v/>
      </c>
      <c r="I112">
        <f>IF(L112="","",L112/1000/1.022)</f>
        <v>6.3933463796477484E-4</v>
      </c>
      <c r="J112" t="str">
        <f>IF(M112="","",M112/1000/1.022)</f>
        <v/>
      </c>
      <c r="K112">
        <f>IF(N112="","",N112/1000/1.022)</f>
        <v>1.6986301369863012E-4</v>
      </c>
      <c r="L112" s="6">
        <v>0.65339999999999998</v>
      </c>
      <c r="N112">
        <v>0.1736</v>
      </c>
      <c r="P112" s="2" t="s">
        <v>44</v>
      </c>
    </row>
    <row r="113" spans="1:16">
      <c r="A113" s="1">
        <v>35775</v>
      </c>
      <c r="B113">
        <v>-60.23</v>
      </c>
      <c r="C113">
        <v>-170.07130000000001</v>
      </c>
      <c r="D113">
        <v>12</v>
      </c>
      <c r="H113" s="12" t="str">
        <f>IFERROR(LOG10(J113/I113),"")</f>
        <v/>
      </c>
      <c r="I113" t="str">
        <f>IF(L113="","",L113/1000/1.022)</f>
        <v/>
      </c>
      <c r="J113" t="str">
        <f>IF(M113="","",M113/1000/1.022)</f>
        <v/>
      </c>
      <c r="K113">
        <f>IF(N113="","",N113/1000/1.022)</f>
        <v>1.4315068493150684E-4</v>
      </c>
      <c r="N113">
        <v>0.14630000000000001</v>
      </c>
      <c r="P113" s="2" t="s">
        <v>44</v>
      </c>
    </row>
    <row r="114" spans="1:16">
      <c r="A114" s="1">
        <v>35775</v>
      </c>
      <c r="B114">
        <v>-60.23</v>
      </c>
      <c r="C114">
        <v>-170.0712</v>
      </c>
      <c r="D114">
        <v>14</v>
      </c>
      <c r="H114" s="12" t="str">
        <f>IFERROR(LOG10(J114/I114),"")</f>
        <v/>
      </c>
      <c r="I114" t="str">
        <f>IF(L114="","",L114/1000/1.022)</f>
        <v/>
      </c>
      <c r="J114" t="str">
        <f>IF(M114="","",M114/1000/1.022)</f>
        <v/>
      </c>
      <c r="K114">
        <f>IF(N114="","",N114/1000/1.022)</f>
        <v>1.4158512720156556E-4</v>
      </c>
      <c r="N114">
        <v>0.1447</v>
      </c>
      <c r="P114" s="2" t="s">
        <v>44</v>
      </c>
    </row>
    <row r="115" spans="1:16">
      <c r="A115" s="1">
        <v>35775</v>
      </c>
      <c r="B115">
        <v>-60.23</v>
      </c>
      <c r="C115">
        <v>-170.0712</v>
      </c>
      <c r="D115">
        <v>19</v>
      </c>
      <c r="H115" s="12" t="str">
        <f>IFERROR(LOG10(J115/I115),"")</f>
        <v/>
      </c>
      <c r="I115" t="str">
        <f>IF(L115="","",L115/1000/1.022)</f>
        <v/>
      </c>
      <c r="J115" t="str">
        <f>IF(M115="","",M115/1000/1.022)</f>
        <v/>
      </c>
      <c r="K115">
        <f>IF(N115="","",N115/1000/1.022)</f>
        <v>7.7592954990215256E-5</v>
      </c>
      <c r="N115">
        <v>7.9299999999999995E-2</v>
      </c>
      <c r="P115" s="2" t="s">
        <v>44</v>
      </c>
    </row>
    <row r="116" spans="1:16">
      <c r="A116" s="1">
        <v>35775</v>
      </c>
      <c r="B116">
        <v>-60.23</v>
      </c>
      <c r="C116">
        <v>-170.0712</v>
      </c>
      <c r="D116">
        <v>25</v>
      </c>
      <c r="H116" s="12" t="str">
        <f>IFERROR(LOG10(J116/I116),"")</f>
        <v/>
      </c>
      <c r="I116">
        <f>IF(L116="","",L116/1000/1.022)</f>
        <v>4.755381604696673E-4</v>
      </c>
      <c r="J116" t="str">
        <f>IF(M116="","",M116/1000/1.022)</f>
        <v/>
      </c>
      <c r="K116">
        <f>IF(N116="","",N116/1000/1.022)</f>
        <v>8.8649706457925645E-5</v>
      </c>
      <c r="L116" s="6">
        <v>0.48599999999999999</v>
      </c>
      <c r="N116">
        <v>9.06E-2</v>
      </c>
      <c r="P116" s="2" t="s">
        <v>44</v>
      </c>
    </row>
    <row r="117" spans="1:16">
      <c r="A117" s="1">
        <v>35775</v>
      </c>
      <c r="B117">
        <v>-60.23</v>
      </c>
      <c r="C117">
        <v>-170.0712</v>
      </c>
      <c r="D117">
        <v>39</v>
      </c>
      <c r="H117" s="12" t="str">
        <f>IFERROR(LOG10(J117/I117),"")</f>
        <v/>
      </c>
      <c r="I117" t="str">
        <f>IF(L117="","",L117/1000/1.022)</f>
        <v/>
      </c>
      <c r="J117" t="str">
        <f>IF(M117="","",M117/1000/1.022)</f>
        <v/>
      </c>
      <c r="K117">
        <f>IF(N117="","",N117/1000/1.022)</f>
        <v>4.7945205479452054E-6</v>
      </c>
      <c r="N117">
        <v>4.8999999999999998E-3</v>
      </c>
      <c r="P117" s="2" t="s">
        <v>44</v>
      </c>
    </row>
    <row r="118" spans="1:16">
      <c r="A118" s="1">
        <v>35775</v>
      </c>
      <c r="B118">
        <v>-60.23</v>
      </c>
      <c r="C118">
        <v>-170.0712</v>
      </c>
      <c r="D118">
        <v>63</v>
      </c>
      <c r="H118" s="12" t="str">
        <f>IFERROR(LOG10(J118/I118),"")</f>
        <v/>
      </c>
      <c r="I118" t="str">
        <f>IF(L118="","",L118/1000/1.022)</f>
        <v/>
      </c>
      <c r="J118" t="str">
        <f>IF(M118="","",M118/1000/1.022)</f>
        <v/>
      </c>
      <c r="K118">
        <f>IF(N118="","",N118/1000/1.022)</f>
        <v>1.076320939334638E-6</v>
      </c>
      <c r="N118">
        <v>1.1000000000000001E-3</v>
      </c>
      <c r="P118" s="2" t="s">
        <v>44</v>
      </c>
    </row>
    <row r="119" spans="1:16">
      <c r="A119" s="1">
        <v>35776</v>
      </c>
      <c r="B119">
        <v>-60.916499999999999</v>
      </c>
      <c r="C119">
        <v>-169.25219999999999</v>
      </c>
      <c r="D119">
        <v>2</v>
      </c>
      <c r="H119" s="12" t="str">
        <f>IFERROR(LOG10(J119/I119),"")</f>
        <v/>
      </c>
      <c r="I119" t="str">
        <f>IF(L119="","",L119/1000/1.022)</f>
        <v/>
      </c>
      <c r="J119" t="str">
        <f>IF(M119="","",M119/1000/1.022)</f>
        <v/>
      </c>
      <c r="K119">
        <f>IF(N119="","",N119/1000/1.022)</f>
        <v>9.1976516634050876E-5</v>
      </c>
      <c r="N119">
        <v>9.4E-2</v>
      </c>
      <c r="P119" s="2" t="s">
        <v>44</v>
      </c>
    </row>
    <row r="120" spans="1:16">
      <c r="A120" s="1">
        <v>35776</v>
      </c>
      <c r="B120">
        <v>-60.916499999999999</v>
      </c>
      <c r="C120">
        <v>-169.25219999999999</v>
      </c>
      <c r="D120">
        <v>9</v>
      </c>
      <c r="H120" s="12" t="str">
        <f>IFERROR(LOG10(J120/I120),"")</f>
        <v/>
      </c>
      <c r="I120" t="str">
        <f>IF(L120="","",L120/1000/1.022)</f>
        <v/>
      </c>
      <c r="J120" t="str">
        <f>IF(M120="","",M120/1000/1.022)</f>
        <v/>
      </c>
      <c r="K120">
        <f>IF(N120="","",N120/1000/1.022)</f>
        <v>1.098825831702544E-4</v>
      </c>
      <c r="N120">
        <v>0.1123</v>
      </c>
      <c r="P120" s="2" t="s">
        <v>44</v>
      </c>
    </row>
    <row r="121" spans="1:16">
      <c r="A121" s="1">
        <v>35776</v>
      </c>
      <c r="B121">
        <v>-60.916499999999999</v>
      </c>
      <c r="C121">
        <v>-169.25219999999999</v>
      </c>
      <c r="D121">
        <v>18</v>
      </c>
      <c r="H121" s="12" t="str">
        <f>IFERROR(LOG10(J121/I121),"")</f>
        <v/>
      </c>
      <c r="I121" t="str">
        <f>IF(L121="","",L121/1000/1.022)</f>
        <v/>
      </c>
      <c r="J121" t="str">
        <f>IF(M121="","",M121/1000/1.022)</f>
        <v/>
      </c>
      <c r="K121">
        <f>IF(N121="","",N121/1000/1.022)</f>
        <v>1.0978473581213306E-4</v>
      </c>
      <c r="N121">
        <v>0.11219999999999999</v>
      </c>
      <c r="P121" s="2" t="s">
        <v>44</v>
      </c>
    </row>
    <row r="122" spans="1:16">
      <c r="A122" s="1">
        <v>35776</v>
      </c>
      <c r="B122">
        <v>-60.9163</v>
      </c>
      <c r="C122">
        <v>-169.25219999999999</v>
      </c>
      <c r="D122">
        <v>23</v>
      </c>
      <c r="H122" s="12" t="str">
        <f>IFERROR(LOG10(J122/I122),"")</f>
        <v/>
      </c>
      <c r="I122" t="str">
        <f>IF(L122="","",L122/1000/1.022)</f>
        <v/>
      </c>
      <c r="J122" t="str">
        <f>IF(M122="","",M122/1000/1.022)</f>
        <v/>
      </c>
      <c r="K122">
        <f>IF(N122="","",N122/1000/1.022)</f>
        <v>1.0763209393346379E-4</v>
      </c>
      <c r="N122">
        <v>0.11</v>
      </c>
      <c r="P122" s="2" t="s">
        <v>44</v>
      </c>
    </row>
    <row r="123" spans="1:16">
      <c r="A123" s="1">
        <v>35776</v>
      </c>
      <c r="B123">
        <v>-60.9163</v>
      </c>
      <c r="C123">
        <v>-169.25219999999999</v>
      </c>
      <c r="D123">
        <v>31</v>
      </c>
      <c r="H123" s="12" t="str">
        <f>IFERROR(LOG10(J123/I123),"")</f>
        <v/>
      </c>
      <c r="I123" t="str">
        <f>IF(L123="","",L123/1000/1.022)</f>
        <v/>
      </c>
      <c r="J123" t="str">
        <f>IF(M123="","",M123/1000/1.022)</f>
        <v/>
      </c>
      <c r="K123">
        <f>IF(N123="","",N123/1000/1.022)</f>
        <v>8.9530332681017613E-5</v>
      </c>
      <c r="N123">
        <v>9.1499999999999998E-2</v>
      </c>
      <c r="P123" s="2" t="s">
        <v>44</v>
      </c>
    </row>
    <row r="124" spans="1:16">
      <c r="A124" s="1">
        <v>35776</v>
      </c>
      <c r="B124">
        <v>-60.9163</v>
      </c>
      <c r="C124">
        <v>-169.25219999999999</v>
      </c>
      <c r="D124">
        <v>40</v>
      </c>
      <c r="H124" s="12" t="str">
        <f>IFERROR(LOG10(J124/I124),"")</f>
        <v/>
      </c>
      <c r="I124" t="str">
        <f>IF(L124="","",L124/1000/1.022)</f>
        <v/>
      </c>
      <c r="J124" t="str">
        <f>IF(M124="","",M124/1000/1.022)</f>
        <v/>
      </c>
      <c r="K124">
        <f>IF(N124="","",N124/1000/1.022)</f>
        <v>1.1663405088062622E-4</v>
      </c>
      <c r="N124">
        <v>0.1192</v>
      </c>
      <c r="P124" s="2" t="s">
        <v>44</v>
      </c>
    </row>
    <row r="125" spans="1:16">
      <c r="A125" s="1">
        <v>35776</v>
      </c>
      <c r="B125">
        <v>-60.9163</v>
      </c>
      <c r="C125">
        <v>-169.25219999999999</v>
      </c>
      <c r="D125">
        <v>61</v>
      </c>
      <c r="H125" s="12" t="str">
        <f>IFERROR(LOG10(J125/I125),"")</f>
        <v/>
      </c>
      <c r="I125" t="str">
        <f>IF(L125="","",L125/1000/1.022)</f>
        <v/>
      </c>
      <c r="J125" t="str">
        <f>IF(M125="","",M125/1000/1.022)</f>
        <v/>
      </c>
      <c r="K125">
        <f>IF(N125="","",N125/1000/1.022)</f>
        <v>6.0665362035225046E-6</v>
      </c>
      <c r="N125">
        <v>6.1999999999999998E-3</v>
      </c>
      <c r="P125" s="2" t="s">
        <v>44</v>
      </c>
    </row>
    <row r="126" spans="1:16">
      <c r="A126" s="1">
        <v>35776</v>
      </c>
      <c r="B126">
        <v>-60.9163</v>
      </c>
      <c r="C126">
        <v>-169.25219999999999</v>
      </c>
      <c r="D126">
        <v>92</v>
      </c>
      <c r="H126" s="12" t="str">
        <f>IFERROR(LOG10(J126/I126),"")</f>
        <v/>
      </c>
      <c r="I126" t="str">
        <f>IF(L126="","",L126/1000/1.022)</f>
        <v/>
      </c>
      <c r="J126" t="str">
        <f>IF(M126="","",M126/1000/1.022)</f>
        <v/>
      </c>
      <c r="K126">
        <f>IF(N126="","",N126/1000/1.022)</f>
        <v>6.1643835616438354E-6</v>
      </c>
      <c r="N126">
        <v>6.3E-3</v>
      </c>
      <c r="P126" s="2" t="s">
        <v>44</v>
      </c>
    </row>
    <row r="127" spans="1:16">
      <c r="A127" s="1">
        <v>35776</v>
      </c>
      <c r="B127">
        <v>-60.9163</v>
      </c>
      <c r="C127">
        <v>-169.25219999999999</v>
      </c>
      <c r="D127">
        <v>9</v>
      </c>
      <c r="H127" s="12" t="str">
        <f>IFERROR(LOG10(J127/I127),"")</f>
        <v/>
      </c>
      <c r="I127">
        <f>IF(L127="","",L127/1000/1.022)</f>
        <v>4.1389432485322894E-4</v>
      </c>
      <c r="J127" t="str">
        <f>IF(M127="","",M127/1000/1.022)</f>
        <v/>
      </c>
      <c r="K127">
        <f>IF(N127="","",N127/1000/1.022)</f>
        <v>7.0645792563600794E-5</v>
      </c>
      <c r="L127" s="6">
        <v>0.42299999999999999</v>
      </c>
      <c r="N127">
        <v>7.22E-2</v>
      </c>
      <c r="P127" s="2" t="s">
        <v>44</v>
      </c>
    </row>
    <row r="128" spans="1:16">
      <c r="A128" s="1">
        <v>35776</v>
      </c>
      <c r="B128">
        <v>-60.9163</v>
      </c>
      <c r="C128">
        <v>-169.25219999999999</v>
      </c>
      <c r="D128">
        <v>40</v>
      </c>
      <c r="H128" s="12" t="str">
        <f>IFERROR(LOG10(J128/I128),"")</f>
        <v/>
      </c>
      <c r="I128">
        <f>IF(L128="","",L128/1000/1.022)</f>
        <v>2.9483365949119372E-3</v>
      </c>
      <c r="J128" t="str">
        <f>IF(M128="","",M128/1000/1.022)</f>
        <v/>
      </c>
      <c r="K128" t="str">
        <f>IF(N128="","",N128/1000/1.022)</f>
        <v/>
      </c>
      <c r="L128" s="6">
        <v>3.0131999999999999</v>
      </c>
      <c r="N128"/>
      <c r="P128" s="2" t="s">
        <v>44</v>
      </c>
    </row>
    <row r="129" spans="1:16">
      <c r="A129" s="1">
        <v>35778</v>
      </c>
      <c r="B129">
        <v>-61.666699999999999</v>
      </c>
      <c r="C129">
        <v>-168.83330000000001</v>
      </c>
      <c r="D129">
        <v>1</v>
      </c>
      <c r="H129" s="12" t="str">
        <f>IFERROR(LOG10(J129/I129),"")</f>
        <v/>
      </c>
      <c r="I129" t="str">
        <f>IF(L129="","",L129/1000/1.022)</f>
        <v/>
      </c>
      <c r="J129" t="str">
        <f>IF(M129="","",M129/1000/1.022)</f>
        <v/>
      </c>
      <c r="K129">
        <f>IF(N129="","",N129/1000/1.022)</f>
        <v>3.7064579256360081E-4</v>
      </c>
      <c r="N129">
        <v>0.37880000000000003</v>
      </c>
      <c r="P129" s="2" t="s">
        <v>44</v>
      </c>
    </row>
    <row r="130" spans="1:16">
      <c r="A130" s="1">
        <v>35778</v>
      </c>
      <c r="B130">
        <v>-61.666699999999999</v>
      </c>
      <c r="C130">
        <v>-168.83330000000001</v>
      </c>
      <c r="D130">
        <v>6</v>
      </c>
      <c r="H130" s="12" t="str">
        <f>IFERROR(LOG10(J130/I130),"")</f>
        <v/>
      </c>
      <c r="I130" t="str">
        <f>IF(L130="","",L130/1000/1.022)</f>
        <v/>
      </c>
      <c r="J130" t="str">
        <f>IF(M130="","",M130/1000/1.022)</f>
        <v/>
      </c>
      <c r="K130">
        <f>IF(N130="","",N130/1000/1.022)</f>
        <v>2.99119373776908E-4</v>
      </c>
      <c r="N130">
        <v>0.30570000000000003</v>
      </c>
      <c r="P130" s="2" t="s">
        <v>44</v>
      </c>
    </row>
    <row r="131" spans="1:16">
      <c r="A131" s="1">
        <v>35778</v>
      </c>
      <c r="B131">
        <v>-61.666699999999999</v>
      </c>
      <c r="C131">
        <v>-168.83330000000001</v>
      </c>
      <c r="D131">
        <v>12</v>
      </c>
      <c r="H131" s="12" t="str">
        <f>IFERROR(LOG10(J131/I131),"")</f>
        <v/>
      </c>
      <c r="I131" t="str">
        <f>IF(L131="","",L131/1000/1.022)</f>
        <v/>
      </c>
      <c r="J131" t="str">
        <f>IF(M131="","",M131/1000/1.022)</f>
        <v/>
      </c>
      <c r="K131">
        <f>IF(N131="","",N131/1000/1.022)</f>
        <v>2.6731898238747552E-4</v>
      </c>
      <c r="N131">
        <v>0.2732</v>
      </c>
      <c r="P131" s="2" t="s">
        <v>44</v>
      </c>
    </row>
    <row r="132" spans="1:16">
      <c r="A132" s="1">
        <v>35778</v>
      </c>
      <c r="B132">
        <v>-61.666499999999999</v>
      </c>
      <c r="C132">
        <v>-168.83330000000001</v>
      </c>
      <c r="D132">
        <v>15</v>
      </c>
      <c r="H132" s="12" t="str">
        <f>IFERROR(LOG10(J132/I132),"")</f>
        <v/>
      </c>
      <c r="I132" t="str">
        <f>IF(L132="","",L132/1000/1.022)</f>
        <v/>
      </c>
      <c r="J132" t="str">
        <f>IF(M132="","",M132/1000/1.022)</f>
        <v/>
      </c>
      <c r="K132">
        <f>IF(N132="","",N132/1000/1.022)</f>
        <v>2.6272015655577299E-4</v>
      </c>
      <c r="N132">
        <v>0.26850000000000002</v>
      </c>
      <c r="P132" s="2" t="s">
        <v>44</v>
      </c>
    </row>
    <row r="133" spans="1:16">
      <c r="A133" s="1">
        <v>35778</v>
      </c>
      <c r="B133">
        <v>-61.666499999999999</v>
      </c>
      <c r="C133">
        <v>-168.83330000000001</v>
      </c>
      <c r="D133">
        <v>20</v>
      </c>
      <c r="H133" s="12" t="str">
        <f>IFERROR(LOG10(J133/I133),"")</f>
        <v/>
      </c>
      <c r="I133" t="str">
        <f>IF(L133="","",L133/1000/1.022)</f>
        <v/>
      </c>
      <c r="J133" t="str">
        <f>IF(M133="","",M133/1000/1.022)</f>
        <v/>
      </c>
      <c r="K133">
        <f>IF(N133="","",N133/1000/1.022)</f>
        <v>1.3923679060665362E-4</v>
      </c>
      <c r="N133">
        <v>0.14230000000000001</v>
      </c>
      <c r="P133" s="2" t="s">
        <v>44</v>
      </c>
    </row>
    <row r="134" spans="1:16">
      <c r="A134" s="1">
        <v>35778</v>
      </c>
      <c r="B134">
        <v>-61.666499999999999</v>
      </c>
      <c r="C134">
        <v>-168.83330000000001</v>
      </c>
      <c r="D134">
        <v>26</v>
      </c>
      <c r="H134" s="12" t="str">
        <f>IFERROR(LOG10(J134/I134),"")</f>
        <v/>
      </c>
      <c r="I134" t="str">
        <f>IF(L134="","",L134/1000/1.022)</f>
        <v/>
      </c>
      <c r="J134" t="str">
        <f>IF(M134="","",M134/1000/1.022)</f>
        <v/>
      </c>
      <c r="K134">
        <f>IF(N134="","",N134/1000/1.022)</f>
        <v>1.5459882583170256E-5</v>
      </c>
      <c r="N134">
        <v>1.5800000000000002E-2</v>
      </c>
      <c r="P134" s="2" t="s">
        <v>44</v>
      </c>
    </row>
    <row r="135" spans="1:16">
      <c r="A135" s="1">
        <v>35778</v>
      </c>
      <c r="B135">
        <v>-61.666499999999999</v>
      </c>
      <c r="C135">
        <v>-168.83330000000001</v>
      </c>
      <c r="D135">
        <v>39</v>
      </c>
      <c r="H135" s="12" t="str">
        <f>IFERROR(LOG10(J135/I135),"")</f>
        <v/>
      </c>
      <c r="I135" t="str">
        <f>IF(L135="","",L135/1000/1.022)</f>
        <v/>
      </c>
      <c r="J135" t="str">
        <f>IF(M135="","",M135/1000/1.022)</f>
        <v/>
      </c>
      <c r="K135">
        <f>IF(N135="","",N135/1000/1.022)</f>
        <v>9.7162426614481415E-5</v>
      </c>
      <c r="N135">
        <v>9.9299999999999999E-2</v>
      </c>
      <c r="P135" s="2" t="s">
        <v>44</v>
      </c>
    </row>
    <row r="136" spans="1:16">
      <c r="A136" s="1">
        <v>35778</v>
      </c>
      <c r="B136">
        <v>-61.666499999999999</v>
      </c>
      <c r="C136">
        <v>-168.83330000000001</v>
      </c>
      <c r="D136">
        <v>59</v>
      </c>
      <c r="H136" s="12" t="str">
        <f>IFERROR(LOG10(J136/I136),"")</f>
        <v/>
      </c>
      <c r="I136" t="str">
        <f>IF(L136="","",L136/1000/1.022)</f>
        <v/>
      </c>
      <c r="J136" t="str">
        <f>IF(M136="","",M136/1000/1.022)</f>
        <v/>
      </c>
      <c r="K136">
        <f>IF(N136="","",N136/1000/1.022)</f>
        <v>1.5655577299412916E-5</v>
      </c>
      <c r="N136">
        <v>1.6E-2</v>
      </c>
      <c r="P136" s="2" t="s">
        <v>44</v>
      </c>
    </row>
    <row r="137" spans="1:16">
      <c r="A137" s="1">
        <v>35778</v>
      </c>
      <c r="B137">
        <v>-61.666699999999999</v>
      </c>
      <c r="C137">
        <v>-168.83320000000001</v>
      </c>
      <c r="D137">
        <v>6</v>
      </c>
      <c r="H137" s="12" t="str">
        <f>IFERROR(LOG10(J137/I137),"")</f>
        <v/>
      </c>
      <c r="I137">
        <f>IF(L137="","",L137/1000/1.022)</f>
        <v>2.1170254403131117E-3</v>
      </c>
      <c r="J137" t="str">
        <f>IF(M137="","",M137/1000/1.022)</f>
        <v/>
      </c>
      <c r="K137">
        <f>IF(N137="","",N137/1000/1.022)</f>
        <v>4.1516634050880628E-4</v>
      </c>
      <c r="L137" s="6">
        <v>2.1636000000000002</v>
      </c>
      <c r="N137">
        <v>0.42430000000000001</v>
      </c>
      <c r="P137" s="2" t="s">
        <v>44</v>
      </c>
    </row>
    <row r="138" spans="1:16">
      <c r="A138" s="1">
        <v>35778</v>
      </c>
      <c r="B138">
        <v>-61.666699999999999</v>
      </c>
      <c r="C138">
        <v>-168.83320000000001</v>
      </c>
      <c r="D138">
        <v>26</v>
      </c>
      <c r="H138" s="12" t="str">
        <f>IFERROR(LOG10(J138/I138),"")</f>
        <v/>
      </c>
      <c r="I138">
        <f>IF(L138="","",L138/1000/1.022)</f>
        <v>1.604500978473581E-3</v>
      </c>
      <c r="J138" t="str">
        <f>IF(M138="","",M138/1000/1.022)</f>
        <v/>
      </c>
      <c r="K138" t="str">
        <f>IF(N138="","",N138/1000/1.022)</f>
        <v/>
      </c>
      <c r="L138" s="6">
        <v>1.6397999999999999</v>
      </c>
      <c r="N138"/>
      <c r="P138" s="2" t="s">
        <v>44</v>
      </c>
    </row>
    <row r="139" spans="1:16">
      <c r="A139" s="1">
        <v>35780</v>
      </c>
      <c r="B139">
        <v>-64.169799999999995</v>
      </c>
      <c r="C139">
        <v>-169.18520000000001</v>
      </c>
      <c r="D139">
        <v>0</v>
      </c>
      <c r="H139" s="12" t="str">
        <f>IFERROR(LOG10(J139/I139),"")</f>
        <v/>
      </c>
      <c r="I139" t="str">
        <f>IF(L139="","",L139/1000/1.022)</f>
        <v/>
      </c>
      <c r="J139">
        <f>IF(M139="","",M139/1000/1.022)</f>
        <v>1.5988258317025438E-4</v>
      </c>
      <c r="K139" t="str">
        <f>IF(N139="","",N139/1000/1.022)</f>
        <v/>
      </c>
      <c r="M139" s="7">
        <v>0.16339999999999999</v>
      </c>
      <c r="N139"/>
      <c r="P139" s="2" t="s">
        <v>44</v>
      </c>
    </row>
    <row r="140" spans="1:16">
      <c r="A140" s="1">
        <v>35780</v>
      </c>
      <c r="B140">
        <v>-64.169799999999995</v>
      </c>
      <c r="C140">
        <v>-169.18520000000001</v>
      </c>
      <c r="D140">
        <v>5</v>
      </c>
      <c r="H140" s="12" t="str">
        <f>IFERROR(LOG10(J140/I140),"")</f>
        <v/>
      </c>
      <c r="I140">
        <f>IF(L140="","",L140/1000/1.022)</f>
        <v>1.2962818003913893E-3</v>
      </c>
      <c r="J140" t="str">
        <f>IF(M140="","",M140/1000/1.022)</f>
        <v/>
      </c>
      <c r="K140">
        <f>IF(N140="","",N140/1000/1.022)</f>
        <v>4.1859099804305281E-4</v>
      </c>
      <c r="L140" s="6">
        <v>1.3248</v>
      </c>
      <c r="N140">
        <v>0.42780000000000001</v>
      </c>
      <c r="P140" s="2" t="s">
        <v>44</v>
      </c>
    </row>
    <row r="141" spans="1:16">
      <c r="A141" s="1">
        <v>35780</v>
      </c>
      <c r="B141">
        <v>-64.169799999999995</v>
      </c>
      <c r="C141">
        <v>-169.18520000000001</v>
      </c>
      <c r="D141">
        <v>10</v>
      </c>
      <c r="H141" s="12" t="str">
        <f>IFERROR(LOG10(J141/I141),"")</f>
        <v/>
      </c>
      <c r="I141" t="str">
        <f>IF(L141="","",L141/1000/1.022)</f>
        <v/>
      </c>
      <c r="J141">
        <f>IF(M141="","",M141/1000/1.022)</f>
        <v>8.0430528375733846E-5</v>
      </c>
      <c r="K141" t="str">
        <f>IF(N141="","",N141/1000/1.022)</f>
        <v/>
      </c>
      <c r="M141" s="7">
        <v>8.2199999999999995E-2</v>
      </c>
      <c r="N141"/>
      <c r="P141" s="2" t="s">
        <v>44</v>
      </c>
    </row>
    <row r="142" spans="1:16">
      <c r="A142" s="1">
        <v>35780</v>
      </c>
      <c r="B142">
        <v>-64.169799999999995</v>
      </c>
      <c r="C142">
        <v>-169.18520000000001</v>
      </c>
      <c r="D142">
        <v>12</v>
      </c>
      <c r="H142" s="12" t="str">
        <f>IFERROR(LOG10(J142/I142),"")</f>
        <v/>
      </c>
      <c r="I142">
        <f>IF(L142="","",L142/1000/1.022)</f>
        <v>0</v>
      </c>
      <c r="J142">
        <f>IF(M142="","",M142/1000/1.022)</f>
        <v>3.7964774951076323E-5</v>
      </c>
      <c r="K142" t="str">
        <f>IF(N142="","",N142/1000/1.022)</f>
        <v/>
      </c>
      <c r="L142" s="6">
        <v>0</v>
      </c>
      <c r="M142" s="7">
        <v>3.8800000000000001E-2</v>
      </c>
      <c r="N142"/>
      <c r="P142" s="2" t="s">
        <v>44</v>
      </c>
    </row>
    <row r="143" spans="1:16">
      <c r="A143" s="1">
        <v>35780</v>
      </c>
      <c r="B143">
        <v>-64.169799999999995</v>
      </c>
      <c r="C143">
        <v>-169.18520000000001</v>
      </c>
      <c r="D143">
        <v>16</v>
      </c>
      <c r="H143" s="12" t="str">
        <f>IFERROR(LOG10(J143/I143),"")</f>
        <v/>
      </c>
      <c r="I143" t="str">
        <f>IF(L143="","",L143/1000/1.022)</f>
        <v/>
      </c>
      <c r="J143">
        <f>IF(M143="","",M143/1000/1.022)</f>
        <v>1.1643835616438355E-4</v>
      </c>
      <c r="K143" t="str">
        <f>IF(N143="","",N143/1000/1.022)</f>
        <v/>
      </c>
      <c r="M143" s="7">
        <v>0.11899999999999999</v>
      </c>
      <c r="N143"/>
      <c r="P143" s="2" t="s">
        <v>44</v>
      </c>
    </row>
    <row r="144" spans="1:16">
      <c r="A144" s="1">
        <v>35780</v>
      </c>
      <c r="B144">
        <v>-64.169799999999995</v>
      </c>
      <c r="C144">
        <v>-169.18520000000001</v>
      </c>
      <c r="D144">
        <v>21</v>
      </c>
      <c r="H144" s="12">
        <f>IFERROR(LOG10(J144/I144),"")</f>
        <v>-0.8225404295303349</v>
      </c>
      <c r="I144">
        <f>IF(L144="","",L144/1000/1.022)</f>
        <v>7.8551859099804306E-4</v>
      </c>
      <c r="J144">
        <f>IF(M144="","",M144/1000/1.022)</f>
        <v>1.1819960861056753E-4</v>
      </c>
      <c r="K144" t="str">
        <f>IF(N144="","",N144/1000/1.022)</f>
        <v/>
      </c>
      <c r="L144" s="6">
        <v>0.80279999999999996</v>
      </c>
      <c r="M144" s="7">
        <v>0.1208</v>
      </c>
      <c r="N144"/>
      <c r="P144" s="2" t="s">
        <v>44</v>
      </c>
    </row>
    <row r="145" spans="1:16">
      <c r="A145" s="1">
        <v>35780</v>
      </c>
      <c r="B145">
        <v>-64.169799999999995</v>
      </c>
      <c r="C145">
        <v>-169.18520000000001</v>
      </c>
      <c r="D145">
        <v>32</v>
      </c>
      <c r="H145" s="12">
        <f>IFERROR(LOG10(J145/I145),"")</f>
        <v>0.68859283292457429</v>
      </c>
      <c r="I145">
        <f>IF(L145="","",L145/1000/1.022)</f>
        <v>2.8180039138943247E-5</v>
      </c>
      <c r="J145">
        <f>IF(M145="","",M145/1000/1.022)</f>
        <v>1.37573385518591E-4</v>
      </c>
      <c r="K145" t="str">
        <f>IF(N145="","",N145/1000/1.022)</f>
        <v/>
      </c>
      <c r="L145" s="6">
        <v>2.8799999999999999E-2</v>
      </c>
      <c r="M145" s="7">
        <v>0.1406</v>
      </c>
      <c r="N145"/>
      <c r="P145" s="2" t="s">
        <v>44</v>
      </c>
    </row>
    <row r="146" spans="1:16">
      <c r="A146" s="1">
        <v>35781</v>
      </c>
      <c r="B146">
        <v>-64.153499999999994</v>
      </c>
      <c r="C146">
        <v>-169.18770000000001</v>
      </c>
      <c r="D146">
        <v>1</v>
      </c>
      <c r="H146" s="12" t="str">
        <f>IFERROR(LOG10(J146/I146),"")</f>
        <v/>
      </c>
      <c r="I146" t="str">
        <f>IF(L146="","",L146/1000/1.022)</f>
        <v/>
      </c>
      <c r="J146" t="str">
        <f>IF(M146="","",M146/1000/1.022)</f>
        <v/>
      </c>
      <c r="K146">
        <f>IF(N146="","",N146/1000/1.022)</f>
        <v>6.0332681017612525E-4</v>
      </c>
      <c r="N146">
        <v>0.61660000000000004</v>
      </c>
      <c r="P146" s="2" t="s">
        <v>44</v>
      </c>
    </row>
    <row r="147" spans="1:16">
      <c r="A147" s="1">
        <v>35781</v>
      </c>
      <c r="B147">
        <v>-64.153499999999994</v>
      </c>
      <c r="C147">
        <v>-169.18770000000001</v>
      </c>
      <c r="D147">
        <v>5</v>
      </c>
      <c r="H147" s="12" t="str">
        <f>IFERROR(LOG10(J147/I147),"")</f>
        <v/>
      </c>
      <c r="I147" t="str">
        <f>IF(L147="","",L147/1000/1.022)</f>
        <v/>
      </c>
      <c r="J147" t="str">
        <f>IF(M147="","",M147/1000/1.022)</f>
        <v/>
      </c>
      <c r="K147">
        <f>IF(N147="","",N147/1000/1.022)</f>
        <v>6.3669275929549899E-4</v>
      </c>
      <c r="N147">
        <v>0.65069999999999995</v>
      </c>
      <c r="P147" s="2" t="s">
        <v>44</v>
      </c>
    </row>
    <row r="148" spans="1:16">
      <c r="A148" s="1">
        <v>35781</v>
      </c>
      <c r="B148">
        <v>-64.153499999999994</v>
      </c>
      <c r="C148">
        <v>-169.18770000000001</v>
      </c>
      <c r="D148">
        <v>10</v>
      </c>
      <c r="H148" s="12" t="str">
        <f>IFERROR(LOG10(J148/I148),"")</f>
        <v/>
      </c>
      <c r="I148" t="str">
        <f>IF(L148="","",L148/1000/1.022)</f>
        <v/>
      </c>
      <c r="J148" t="str">
        <f>IF(M148="","",M148/1000/1.022)</f>
        <v/>
      </c>
      <c r="K148">
        <f>IF(N148="","",N148/1000/1.022)</f>
        <v>5.4148727984344421E-4</v>
      </c>
      <c r="N148">
        <v>0.5534</v>
      </c>
      <c r="P148" s="2" t="s">
        <v>44</v>
      </c>
    </row>
    <row r="149" spans="1:16">
      <c r="A149" s="1">
        <v>35781</v>
      </c>
      <c r="B149">
        <v>-64.153499999999994</v>
      </c>
      <c r="C149">
        <v>-169.18770000000001</v>
      </c>
      <c r="D149">
        <v>12</v>
      </c>
      <c r="H149" s="12" t="str">
        <f>IFERROR(LOG10(J149/I149),"")</f>
        <v/>
      </c>
      <c r="I149" t="str">
        <f>IF(L149="","",L149/1000/1.022)</f>
        <v/>
      </c>
      <c r="J149" t="str">
        <f>IF(M149="","",M149/1000/1.022)</f>
        <v/>
      </c>
      <c r="K149">
        <f>IF(N149="","",N149/1000/1.022)</f>
        <v>4.1780821917808213E-4</v>
      </c>
      <c r="N149">
        <v>0.42699999999999999</v>
      </c>
      <c r="P149" s="2" t="s">
        <v>44</v>
      </c>
    </row>
    <row r="150" spans="1:16">
      <c r="A150" s="1">
        <v>35781</v>
      </c>
      <c r="B150">
        <v>-64.153499999999994</v>
      </c>
      <c r="C150">
        <v>-169.18770000000001</v>
      </c>
      <c r="D150">
        <v>16</v>
      </c>
      <c r="H150" s="12" t="str">
        <f>IFERROR(LOG10(J150/I150),"")</f>
        <v/>
      </c>
      <c r="I150" t="str">
        <f>IF(L150="","",L150/1000/1.022)</f>
        <v/>
      </c>
      <c r="J150" t="str">
        <f>IF(M150="","",M150/1000/1.022)</f>
        <v/>
      </c>
      <c r="K150">
        <f>IF(N150="","",N150/1000/1.022)</f>
        <v>3.8962818003913892E-4</v>
      </c>
      <c r="N150">
        <v>0.3982</v>
      </c>
      <c r="P150" s="2" t="s">
        <v>44</v>
      </c>
    </row>
    <row r="151" spans="1:16">
      <c r="A151" s="1">
        <v>35781</v>
      </c>
      <c r="B151">
        <v>-64.153499999999994</v>
      </c>
      <c r="C151">
        <v>-169.18770000000001</v>
      </c>
      <c r="D151">
        <v>21</v>
      </c>
      <c r="H151" s="12" t="str">
        <f>IFERROR(LOG10(J151/I151),"")</f>
        <v/>
      </c>
      <c r="I151" t="str">
        <f>IF(L151="","",L151/1000/1.022)</f>
        <v/>
      </c>
      <c r="J151" t="str">
        <f>IF(M151="","",M151/1000/1.022)</f>
        <v/>
      </c>
      <c r="K151">
        <f>IF(N151="","",N151/1000/1.022)</f>
        <v>1.2025440313111546E-4</v>
      </c>
      <c r="N151">
        <v>0.1229</v>
      </c>
      <c r="P151" s="2" t="s">
        <v>44</v>
      </c>
    </row>
    <row r="152" spans="1:16">
      <c r="A152" s="1">
        <v>35781</v>
      </c>
      <c r="B152">
        <v>-64.153499999999994</v>
      </c>
      <c r="C152">
        <v>-169.18770000000001</v>
      </c>
      <c r="D152">
        <v>32</v>
      </c>
      <c r="H152" s="12" t="str">
        <f>IFERROR(LOG10(J152/I152),"")</f>
        <v/>
      </c>
      <c r="I152" t="str">
        <f>IF(L152="","",L152/1000/1.022)</f>
        <v/>
      </c>
      <c r="J152" t="str">
        <f>IF(M152="","",M152/1000/1.022)</f>
        <v/>
      </c>
      <c r="K152">
        <f>IF(N152="","",N152/1000/1.022)</f>
        <v>9.9804305283757345E-6</v>
      </c>
      <c r="N152">
        <v>1.0200000000000001E-2</v>
      </c>
      <c r="P152" s="2" t="s">
        <v>44</v>
      </c>
    </row>
    <row r="153" spans="1:16">
      <c r="A153" s="1">
        <v>35781</v>
      </c>
      <c r="B153">
        <v>-64.153499999999994</v>
      </c>
      <c r="C153">
        <v>-169.18770000000001</v>
      </c>
      <c r="D153">
        <v>49</v>
      </c>
      <c r="H153" s="12" t="str">
        <f>IFERROR(LOG10(J153/I153),"")</f>
        <v/>
      </c>
      <c r="I153" t="str">
        <f>IF(L153="","",L153/1000/1.022)</f>
        <v/>
      </c>
      <c r="J153" t="str">
        <f>IF(M153="","",M153/1000/1.022)</f>
        <v/>
      </c>
      <c r="K153">
        <f>IF(N153="","",N153/1000/1.022)</f>
        <v>1.1350293542074364E-5</v>
      </c>
      <c r="N153">
        <v>1.1599999999999999E-2</v>
      </c>
      <c r="P153" s="2" t="s">
        <v>44</v>
      </c>
    </row>
    <row r="154" spans="1:16">
      <c r="A154" s="1">
        <v>35782</v>
      </c>
      <c r="B154">
        <v>-64.695999999999998</v>
      </c>
      <c r="C154">
        <v>-169.286</v>
      </c>
      <c r="D154">
        <v>1</v>
      </c>
      <c r="H154" s="12" t="str">
        <f>IFERROR(LOG10(J154/I154),"")</f>
        <v/>
      </c>
      <c r="I154" t="str">
        <f>IF(L154="","",L154/1000/1.022)</f>
        <v/>
      </c>
      <c r="J154" t="str">
        <f>IF(M154="","",M154/1000/1.022)</f>
        <v/>
      </c>
      <c r="K154">
        <f>IF(N154="","",N154/1000/1.022)</f>
        <v>4.006849315068493E-4</v>
      </c>
      <c r="N154">
        <v>0.40949999999999998</v>
      </c>
      <c r="P154" s="2" t="s">
        <v>44</v>
      </c>
    </row>
    <row r="155" spans="1:16">
      <c r="A155" s="1">
        <v>35782</v>
      </c>
      <c r="B155">
        <v>-64.695999999999998</v>
      </c>
      <c r="C155">
        <v>-169.286</v>
      </c>
      <c r="D155">
        <v>5</v>
      </c>
      <c r="H155" s="12" t="str">
        <f>IFERROR(LOG10(J155/I155),"")</f>
        <v/>
      </c>
      <c r="I155">
        <f>IF(L155="","",L155/1000/1.022)</f>
        <v>4.7201565557729942E-4</v>
      </c>
      <c r="J155" t="str">
        <f>IF(M155="","",M155/1000/1.022)</f>
        <v/>
      </c>
      <c r="K155">
        <f>IF(N155="","",N155/1000/1.022)</f>
        <v>3.1154598825831707E-4</v>
      </c>
      <c r="L155" s="6">
        <v>0.4824</v>
      </c>
      <c r="N155">
        <v>0.31840000000000002</v>
      </c>
      <c r="P155" s="2" t="s">
        <v>44</v>
      </c>
    </row>
    <row r="156" spans="1:16">
      <c r="A156" s="1">
        <v>35782</v>
      </c>
      <c r="B156">
        <v>-64.695999999999998</v>
      </c>
      <c r="C156">
        <v>-169.286</v>
      </c>
      <c r="D156">
        <v>9</v>
      </c>
      <c r="H156" s="12" t="str">
        <f>IFERROR(LOG10(J156/I156),"")</f>
        <v/>
      </c>
      <c r="I156" t="str">
        <f>IF(L156="","",L156/1000/1.022)</f>
        <v/>
      </c>
      <c r="J156" t="str">
        <f>IF(M156="","",M156/1000/1.022)</f>
        <v/>
      </c>
      <c r="K156">
        <f>IF(N156="","",N156/1000/1.022)</f>
        <v>3.3600782778864968E-4</v>
      </c>
      <c r="N156">
        <v>0.34339999999999998</v>
      </c>
      <c r="P156" s="2" t="s">
        <v>44</v>
      </c>
    </row>
    <row r="157" spans="1:16">
      <c r="A157" s="1">
        <v>35782</v>
      </c>
      <c r="B157">
        <v>-64.6952</v>
      </c>
      <c r="C157">
        <v>-169.2775</v>
      </c>
      <c r="D157">
        <v>12</v>
      </c>
      <c r="H157" s="12" t="str">
        <f>IFERROR(LOG10(J157/I157),"")</f>
        <v/>
      </c>
      <c r="I157" t="str">
        <f>IF(L157="","",L157/1000/1.022)</f>
        <v/>
      </c>
      <c r="J157" t="str">
        <f>IF(M157="","",M157/1000/1.022)</f>
        <v/>
      </c>
      <c r="K157">
        <f>IF(N157="","",N157/1000/1.022)</f>
        <v>2.5939334637964774E-4</v>
      </c>
      <c r="N157">
        <v>0.2651</v>
      </c>
      <c r="P157" s="2" t="s">
        <v>44</v>
      </c>
    </row>
    <row r="158" spans="1:16">
      <c r="A158" s="1">
        <v>35782</v>
      </c>
      <c r="B158">
        <v>-64.6952</v>
      </c>
      <c r="C158">
        <v>-169.2775</v>
      </c>
      <c r="D158">
        <v>15</v>
      </c>
      <c r="H158" s="12" t="str">
        <f>IFERROR(LOG10(J158/I158),"")</f>
        <v/>
      </c>
      <c r="I158" t="str">
        <f>IF(L158="","",L158/1000/1.022)</f>
        <v/>
      </c>
      <c r="J158" t="str">
        <f>IF(M158="","",M158/1000/1.022)</f>
        <v/>
      </c>
      <c r="K158">
        <f>IF(N158="","",N158/1000/1.022)</f>
        <v>1.6086105675146769E-4</v>
      </c>
      <c r="N158">
        <v>0.16439999999999999</v>
      </c>
      <c r="P158" s="2" t="s">
        <v>44</v>
      </c>
    </row>
    <row r="159" spans="1:16">
      <c r="A159" s="1">
        <v>35782</v>
      </c>
      <c r="B159">
        <v>-64.6952</v>
      </c>
      <c r="C159">
        <v>-169.2775</v>
      </c>
      <c r="D159">
        <v>20</v>
      </c>
      <c r="H159" s="12" t="str">
        <f>IFERROR(LOG10(J159/I159),"")</f>
        <v/>
      </c>
      <c r="I159">
        <f>IF(L159="","",L159/1000/1.022)</f>
        <v>5.1956947162426612E-4</v>
      </c>
      <c r="J159" t="str">
        <f>IF(M159="","",M159/1000/1.022)</f>
        <v/>
      </c>
      <c r="K159">
        <f>IF(N159="","",N159/1000/1.022)</f>
        <v>1.1937377690802348E-4</v>
      </c>
      <c r="L159" s="6">
        <v>0.53100000000000003</v>
      </c>
      <c r="N159">
        <v>0.122</v>
      </c>
      <c r="P159" s="2" t="s">
        <v>44</v>
      </c>
    </row>
    <row r="160" spans="1:16">
      <c r="A160" s="1">
        <v>35782</v>
      </c>
      <c r="B160">
        <v>-64.6952</v>
      </c>
      <c r="C160">
        <v>-169.2775</v>
      </c>
      <c r="D160">
        <v>31</v>
      </c>
      <c r="H160" s="12" t="str">
        <f>IFERROR(LOG10(J160/I160),"")</f>
        <v/>
      </c>
      <c r="I160" t="str">
        <f>IF(L160="","",L160/1000/1.022)</f>
        <v/>
      </c>
      <c r="J160" t="str">
        <f>IF(M160="","",M160/1000/1.022)</f>
        <v/>
      </c>
      <c r="K160">
        <f>IF(N160="","",N160/1000/1.022)</f>
        <v>2.8277886497064576E-5</v>
      </c>
      <c r="N160">
        <v>2.8899999999999999E-2</v>
      </c>
      <c r="P160" s="2" t="s">
        <v>44</v>
      </c>
    </row>
    <row r="161" spans="1:16">
      <c r="A161" s="1">
        <v>35782</v>
      </c>
      <c r="B161">
        <v>-64.6952</v>
      </c>
      <c r="C161">
        <v>-169.2775</v>
      </c>
      <c r="D161">
        <v>46</v>
      </c>
      <c r="H161" s="12" t="str">
        <f>IFERROR(LOG10(J161/I161),"")</f>
        <v/>
      </c>
      <c r="I161" t="str">
        <f>IF(L161="","",L161/1000/1.022)</f>
        <v/>
      </c>
      <c r="J161" t="str">
        <f>IF(M161="","",M161/1000/1.022)</f>
        <v/>
      </c>
      <c r="K161">
        <f>IF(N161="","",N161/1000/1.022)</f>
        <v>1.4090019569471624E-5</v>
      </c>
      <c r="N161">
        <v>1.44E-2</v>
      </c>
      <c r="P161" s="2" t="s">
        <v>44</v>
      </c>
    </row>
    <row r="162" spans="1:16">
      <c r="A162" s="1">
        <v>35783</v>
      </c>
      <c r="B162">
        <v>-63.085000000000001</v>
      </c>
      <c r="C162">
        <v>-169.8503</v>
      </c>
      <c r="D162">
        <v>5</v>
      </c>
      <c r="H162" s="12" t="str">
        <f>IFERROR(LOG10(J162/I162),"")</f>
        <v/>
      </c>
      <c r="I162">
        <f>IF(L162="","",L162/1000/1.022)</f>
        <v>9.0176125244618391E-4</v>
      </c>
      <c r="J162" t="str">
        <f>IF(M162="","",M162/1000/1.022)</f>
        <v/>
      </c>
      <c r="K162">
        <f>IF(N162="","",N162/1000/1.022)</f>
        <v>3.1467710371819963E-4</v>
      </c>
      <c r="L162" s="6">
        <v>0.92159999999999997</v>
      </c>
      <c r="N162">
        <v>0.3216</v>
      </c>
      <c r="P162" s="2" t="s">
        <v>44</v>
      </c>
    </row>
    <row r="163" spans="1:16">
      <c r="A163" s="1">
        <v>35783</v>
      </c>
      <c r="B163">
        <v>-63.085000000000001</v>
      </c>
      <c r="C163">
        <v>-169.8503</v>
      </c>
      <c r="D163">
        <v>10</v>
      </c>
      <c r="H163" s="12" t="str">
        <f>IFERROR(LOG10(J163/I163),"")</f>
        <v/>
      </c>
      <c r="I163" t="str">
        <f>IF(L163="","",L163/1000/1.022)</f>
        <v/>
      </c>
      <c r="J163" t="str">
        <f>IF(M163="","",M163/1000/1.022)</f>
        <v/>
      </c>
      <c r="K163" t="str">
        <f>IF(N163="","",N163/1000/1.022)</f>
        <v/>
      </c>
      <c r="N163"/>
      <c r="P163" s="2" t="s">
        <v>44</v>
      </c>
    </row>
    <row r="164" spans="1:16">
      <c r="A164" s="1">
        <v>35783</v>
      </c>
      <c r="B164">
        <v>-63.084800000000001</v>
      </c>
      <c r="C164">
        <v>-169.8477</v>
      </c>
      <c r="D164">
        <v>12</v>
      </c>
      <c r="H164" s="12" t="str">
        <f>IFERROR(LOG10(J164/I164),"")</f>
        <v/>
      </c>
      <c r="I164">
        <f>IF(L164="","",L164/1000/1.022)</f>
        <v>1.0232876712328769E-3</v>
      </c>
      <c r="J164" t="str">
        <f>IF(M164="","",M164/1000/1.022)</f>
        <v/>
      </c>
      <c r="K164">
        <f>IF(N164="","",N164/1000/1.022)</f>
        <v>1.6252446183953034E-4</v>
      </c>
      <c r="L164" s="6">
        <v>1.0458000000000001</v>
      </c>
      <c r="N164">
        <v>0.1661</v>
      </c>
      <c r="P164" s="2" t="s">
        <v>44</v>
      </c>
    </row>
    <row r="165" spans="1:16">
      <c r="A165" s="1">
        <v>35783</v>
      </c>
      <c r="B165">
        <v>-63.084800000000001</v>
      </c>
      <c r="C165">
        <v>-169.8477</v>
      </c>
      <c r="D165">
        <v>16</v>
      </c>
      <c r="H165" s="12" t="str">
        <f>IFERROR(LOG10(J165/I165),"")</f>
        <v/>
      </c>
      <c r="I165" t="str">
        <f>IF(L165="","",L165/1000/1.022)</f>
        <v/>
      </c>
      <c r="J165" t="str">
        <f>IF(M165="","",M165/1000/1.022)</f>
        <v/>
      </c>
      <c r="K165">
        <f>IF(N165="","",N165/1000/1.022)</f>
        <v>1.1252446183953033E-4</v>
      </c>
      <c r="N165">
        <v>0.115</v>
      </c>
      <c r="P165" s="2" t="s">
        <v>44</v>
      </c>
    </row>
    <row r="166" spans="1:16">
      <c r="A166" s="1">
        <v>35783</v>
      </c>
      <c r="B166">
        <v>-63.084800000000001</v>
      </c>
      <c r="C166">
        <v>-169.8477</v>
      </c>
      <c r="D166">
        <v>21</v>
      </c>
      <c r="H166" s="12" t="str">
        <f>IFERROR(LOG10(J166/I166),"")</f>
        <v/>
      </c>
      <c r="I166">
        <f>IF(L166="","",L166/1000/1.022)</f>
        <v>4.2974559686888454E-4</v>
      </c>
      <c r="J166" t="str">
        <f>IF(M166="","",M166/1000/1.022)</f>
        <v/>
      </c>
      <c r="K166">
        <f>IF(N166="","",N166/1000/1.022)</f>
        <v>5.6360078277886495E-5</v>
      </c>
      <c r="L166" s="6">
        <v>0.43919999999999998</v>
      </c>
      <c r="N166">
        <v>5.7599999999999998E-2</v>
      </c>
      <c r="P166" s="2" t="s">
        <v>44</v>
      </c>
    </row>
    <row r="167" spans="1:16">
      <c r="A167" s="1">
        <v>35783</v>
      </c>
      <c r="B167">
        <v>-63.084800000000001</v>
      </c>
      <c r="C167">
        <v>-169.8477</v>
      </c>
      <c r="D167">
        <v>33</v>
      </c>
      <c r="H167" s="12" t="str">
        <f>IFERROR(LOG10(J167/I167),"")</f>
        <v/>
      </c>
      <c r="I167" t="str">
        <f>IF(L167="","",L167/1000/1.022)</f>
        <v/>
      </c>
      <c r="J167" t="str">
        <f>IF(M167="","",M167/1000/1.022)</f>
        <v/>
      </c>
      <c r="K167">
        <f>IF(N167="","",N167/1000/1.022)</f>
        <v>1.2622309197651663E-5</v>
      </c>
      <c r="N167">
        <v>1.29E-2</v>
      </c>
      <c r="P167" s="2" t="s">
        <v>44</v>
      </c>
    </row>
    <row r="168" spans="1:16">
      <c r="A168" s="1">
        <v>35783</v>
      </c>
      <c r="B168">
        <v>-63.084800000000001</v>
      </c>
      <c r="C168">
        <v>-169.8477</v>
      </c>
      <c r="D168">
        <v>49</v>
      </c>
      <c r="H168" s="12" t="str">
        <f>IFERROR(LOG10(J168/I168),"")</f>
        <v/>
      </c>
      <c r="I168" t="str">
        <f>IF(L168="","",L168/1000/1.022)</f>
        <v/>
      </c>
      <c r="J168" t="str">
        <f>IF(M168="","",M168/1000/1.022)</f>
        <v/>
      </c>
      <c r="K168">
        <f>IF(N168="","",N168/1000/1.022)</f>
        <v>1.2622309197651663E-5</v>
      </c>
      <c r="N168">
        <v>1.29E-2</v>
      </c>
      <c r="P168" s="2" t="s">
        <v>44</v>
      </c>
    </row>
    <row r="169" spans="1:16">
      <c r="A169" s="1">
        <v>35784</v>
      </c>
      <c r="B169">
        <v>-63.083269999999999</v>
      </c>
      <c r="C169">
        <v>-169.82633999999999</v>
      </c>
      <c r="D169">
        <v>5</v>
      </c>
      <c r="H169" s="12" t="str">
        <f>IFERROR(LOG10(J169/I169),"")</f>
        <v/>
      </c>
      <c r="I169">
        <f>IF(L169="","",L169/1000/1.022)</f>
        <v>1.3966731898238749E-3</v>
      </c>
      <c r="J169" t="str">
        <f>IF(M169="","",M169/1000/1.022)</f>
        <v/>
      </c>
      <c r="K169">
        <f>IF(N169="","",N169/1000/1.022)</f>
        <v>1.6722113502935421E-4</v>
      </c>
      <c r="L169" s="6">
        <v>1.4274</v>
      </c>
      <c r="N169">
        <v>0.1709</v>
      </c>
      <c r="P169" s="2" t="s">
        <v>44</v>
      </c>
    </row>
    <row r="170" spans="1:16">
      <c r="A170" s="1">
        <v>35784</v>
      </c>
      <c r="B170">
        <v>-63.083269999999999</v>
      </c>
      <c r="C170">
        <v>-169.82633999999999</v>
      </c>
      <c r="D170">
        <v>10</v>
      </c>
      <c r="H170" s="12" t="str">
        <f>IFERROR(LOG10(J170/I170),"")</f>
        <v/>
      </c>
      <c r="I170" t="str">
        <f>IF(L170="","",L170/1000/1.022)</f>
        <v/>
      </c>
      <c r="J170" t="str">
        <f>IF(M170="","",M170/1000/1.022)</f>
        <v/>
      </c>
      <c r="K170">
        <f>IF(N170="","",N170/1000/1.022)</f>
        <v>1.4598825831702543E-4</v>
      </c>
      <c r="N170">
        <v>0.1492</v>
      </c>
      <c r="P170" s="2" t="s">
        <v>44</v>
      </c>
    </row>
    <row r="171" spans="1:16">
      <c r="A171" s="1">
        <v>35784</v>
      </c>
      <c r="B171">
        <v>-63.083269999999999</v>
      </c>
      <c r="C171">
        <v>-169.82633999999999</v>
      </c>
      <c r="D171">
        <v>12</v>
      </c>
      <c r="H171" s="12" t="str">
        <f>IFERROR(LOG10(J171/I171),"")</f>
        <v/>
      </c>
      <c r="I171">
        <f>IF(L171="","",L171/1000/1.022)</f>
        <v>1.6908023483365949E-4</v>
      </c>
      <c r="J171" t="str">
        <f>IF(M171="","",M171/1000/1.022)</f>
        <v/>
      </c>
      <c r="K171">
        <f>IF(N171="","",N171/1000/1.022)</f>
        <v>1.5254403131115461E-4</v>
      </c>
      <c r="L171" s="6">
        <v>0.17280000000000001</v>
      </c>
      <c r="N171">
        <v>0.15590000000000001</v>
      </c>
      <c r="P171" s="2" t="s">
        <v>44</v>
      </c>
    </row>
    <row r="172" spans="1:16">
      <c r="A172" s="1">
        <v>35784</v>
      </c>
      <c r="B172">
        <v>-63.083269999999999</v>
      </c>
      <c r="C172">
        <v>-169.82633999999999</v>
      </c>
      <c r="D172">
        <v>17</v>
      </c>
      <c r="H172" s="12" t="str">
        <f>IFERROR(LOG10(J172/I172),"")</f>
        <v/>
      </c>
      <c r="I172" t="str">
        <f>IF(L172="","",L172/1000/1.022)</f>
        <v/>
      </c>
      <c r="J172" t="str">
        <f>IF(M172="","",M172/1000/1.022)</f>
        <v/>
      </c>
      <c r="K172">
        <f>IF(N172="","",N172/1000/1.022)</f>
        <v>1.3336594911937379E-4</v>
      </c>
      <c r="N172">
        <v>0.1363</v>
      </c>
      <c r="P172" s="2" t="s">
        <v>44</v>
      </c>
    </row>
    <row r="173" spans="1:16">
      <c r="A173" s="1">
        <v>35784</v>
      </c>
      <c r="B173">
        <v>-63.083269999999999</v>
      </c>
      <c r="C173">
        <v>-169.82633999999999</v>
      </c>
      <c r="D173">
        <v>21</v>
      </c>
      <c r="H173" s="12" t="str">
        <f>IFERROR(LOG10(J173/I173),"")</f>
        <v/>
      </c>
      <c r="I173">
        <f>IF(L173="","",L173/1000/1.022)</f>
        <v>8.1722113502935426E-4</v>
      </c>
      <c r="J173" t="str">
        <f>IF(M173="","",M173/1000/1.022)</f>
        <v/>
      </c>
      <c r="K173">
        <f>IF(N173="","",N173/1000/1.022)</f>
        <v>1.3326810176125242E-4</v>
      </c>
      <c r="L173" s="6">
        <v>0.83520000000000005</v>
      </c>
      <c r="N173">
        <v>0.13619999999999999</v>
      </c>
      <c r="P173" s="2" t="s">
        <v>44</v>
      </c>
    </row>
    <row r="174" spans="1:16">
      <c r="A174" s="1">
        <v>35784</v>
      </c>
      <c r="B174">
        <v>-63.083269999999999</v>
      </c>
      <c r="C174">
        <v>-169.82633999999999</v>
      </c>
      <c r="D174">
        <v>35</v>
      </c>
      <c r="H174" s="12" t="str">
        <f>IFERROR(LOG10(J174/I174),"")</f>
        <v/>
      </c>
      <c r="I174" t="str">
        <f>IF(L174="","",L174/1000/1.022)</f>
        <v/>
      </c>
      <c r="J174" t="str">
        <f>IF(M174="","",M174/1000/1.022)</f>
        <v/>
      </c>
      <c r="K174">
        <f>IF(N174="","",N174/1000/1.022)</f>
        <v>8.7475538160469664E-5</v>
      </c>
      <c r="N174">
        <v>8.9399999999999993E-2</v>
      </c>
      <c r="P174" s="2" t="s">
        <v>44</v>
      </c>
    </row>
    <row r="175" spans="1:16">
      <c r="A175" s="1">
        <v>35784</v>
      </c>
      <c r="B175">
        <v>-63.083159999999999</v>
      </c>
      <c r="C175">
        <v>-169.82633999999999</v>
      </c>
      <c r="D175">
        <v>5</v>
      </c>
      <c r="H175" s="12" t="str">
        <f>IFERROR(LOG10(J175/I175),"")</f>
        <v/>
      </c>
      <c r="I175">
        <f>IF(L175="","",L175/1000/1.022)</f>
        <v>1.5587084148727985E-3</v>
      </c>
      <c r="J175" t="str">
        <f>IF(M175="","",M175/1000/1.022)</f>
        <v/>
      </c>
      <c r="K175">
        <f>IF(N175="","",N175/1000/1.022)</f>
        <v>3.9001956947162423E-4</v>
      </c>
      <c r="L175" s="6">
        <v>1.593</v>
      </c>
      <c r="N175">
        <v>0.39860000000000001</v>
      </c>
      <c r="P175" s="2" t="s">
        <v>44</v>
      </c>
    </row>
    <row r="176" spans="1:16">
      <c r="A176" s="1">
        <v>35784</v>
      </c>
      <c r="B176">
        <v>-63.083159999999999</v>
      </c>
      <c r="C176">
        <v>-169.82633999999999</v>
      </c>
      <c r="D176">
        <v>10</v>
      </c>
      <c r="H176" s="12" t="str">
        <f>IFERROR(LOG10(J176/I176),"")</f>
        <v/>
      </c>
      <c r="I176" t="str">
        <f>IF(L176="","",L176/1000/1.022)</f>
        <v/>
      </c>
      <c r="J176" t="str">
        <f>IF(M176="","",M176/1000/1.022)</f>
        <v/>
      </c>
      <c r="K176">
        <f>IF(N176="","",N176/1000/1.022)</f>
        <v>3.2387475538160469E-4</v>
      </c>
      <c r="N176">
        <v>0.33100000000000002</v>
      </c>
      <c r="P176" s="2" t="s">
        <v>44</v>
      </c>
    </row>
    <row r="177" spans="1:16">
      <c r="A177" s="1">
        <v>35784</v>
      </c>
      <c r="B177">
        <v>-63.083159999999999</v>
      </c>
      <c r="C177">
        <v>-169.82633999999999</v>
      </c>
      <c r="D177">
        <v>12</v>
      </c>
      <c r="H177" s="12" t="str">
        <f>IFERROR(LOG10(J177/I177),"")</f>
        <v/>
      </c>
      <c r="I177">
        <f>IF(L177="","",L177/1000/1.022)</f>
        <v>3.892367906066536E-4</v>
      </c>
      <c r="J177" t="str">
        <f>IF(M177="","",M177/1000/1.022)</f>
        <v/>
      </c>
      <c r="K177">
        <f>IF(N177="","",N177/1000/1.022)</f>
        <v>3.8796477495107637E-4</v>
      </c>
      <c r="L177" s="6">
        <v>0.39779999999999999</v>
      </c>
      <c r="N177">
        <v>0.39650000000000002</v>
      </c>
      <c r="P177" s="2" t="s">
        <v>44</v>
      </c>
    </row>
    <row r="178" spans="1:16">
      <c r="A178" s="1">
        <v>35784</v>
      </c>
      <c r="B178">
        <v>-63.083159999999999</v>
      </c>
      <c r="C178">
        <v>-169.82633999999999</v>
      </c>
      <c r="D178">
        <v>16</v>
      </c>
      <c r="H178" s="12" t="str">
        <f>IFERROR(LOG10(J178/I178),"")</f>
        <v/>
      </c>
      <c r="I178" t="str">
        <f>IF(L178="","",L178/1000/1.022)</f>
        <v/>
      </c>
      <c r="J178" t="str">
        <f>IF(M178="","",M178/1000/1.022)</f>
        <v/>
      </c>
      <c r="K178">
        <f>IF(N178="","",N178/1000/1.022)</f>
        <v>1.4784735812133074E-4</v>
      </c>
      <c r="N178">
        <v>0.15110000000000001</v>
      </c>
      <c r="P178" s="2" t="s">
        <v>44</v>
      </c>
    </row>
    <row r="179" spans="1:16">
      <c r="A179" s="1">
        <v>35784</v>
      </c>
      <c r="B179">
        <v>-63.083159999999999</v>
      </c>
      <c r="C179">
        <v>-169.82633999999999</v>
      </c>
      <c r="D179">
        <v>21</v>
      </c>
      <c r="H179" s="12" t="str">
        <f>IFERROR(LOG10(J179/I179),"")</f>
        <v/>
      </c>
      <c r="I179">
        <f>IF(L179="","",L179/1000/1.022)</f>
        <v>4.4031311154598822E-4</v>
      </c>
      <c r="J179" t="str">
        <f>IF(M179="","",M179/1000/1.022)</f>
        <v/>
      </c>
      <c r="K179">
        <f>IF(N179="","",N179/1000/1.022)</f>
        <v>2.0479452054794522E-4</v>
      </c>
      <c r="L179" s="6">
        <v>0.45</v>
      </c>
      <c r="N179">
        <v>0.20930000000000001</v>
      </c>
      <c r="P179" s="2" t="s">
        <v>44</v>
      </c>
    </row>
    <row r="180" spans="1:16">
      <c r="A180" s="1">
        <v>35784</v>
      </c>
      <c r="B180">
        <v>-63.083159999999999</v>
      </c>
      <c r="C180">
        <v>-169.82633999999999</v>
      </c>
      <c r="D180">
        <v>33</v>
      </c>
      <c r="H180" s="12" t="str">
        <f>IFERROR(LOG10(J180/I180),"")</f>
        <v/>
      </c>
      <c r="I180" t="str">
        <f>IF(L180="","",L180/1000/1.022)</f>
        <v/>
      </c>
      <c r="J180" t="str">
        <f>IF(M180="","",M180/1000/1.022)</f>
        <v/>
      </c>
      <c r="K180">
        <f>IF(N180="","",N180/1000/1.022)</f>
        <v>4.9902152641878672E-6</v>
      </c>
      <c r="N180">
        <v>5.1000000000000004E-3</v>
      </c>
      <c r="P180" s="2" t="s">
        <v>44</v>
      </c>
    </row>
    <row r="181" spans="1:16">
      <c r="A181" s="1">
        <v>35785</v>
      </c>
      <c r="B181">
        <v>-62.4</v>
      </c>
      <c r="C181">
        <v>-169.83320000000001</v>
      </c>
      <c r="D181">
        <v>5</v>
      </c>
      <c r="H181" s="12">
        <f>IFERROR(LOG10(J181/I181),"")</f>
        <v>-0.92237099526441924</v>
      </c>
      <c r="I181">
        <f>IF(L181="","",L181/1000/1.022)</f>
        <v>9.5988258317025428E-4</v>
      </c>
      <c r="J181">
        <f>IF(M181="","",M181/1000/1.022)</f>
        <v>1.1477495107632094E-4</v>
      </c>
      <c r="K181" t="str">
        <f>IF(N181="","",N181/1000/1.022)</f>
        <v/>
      </c>
      <c r="L181" s="6">
        <v>0.98099999999999998</v>
      </c>
      <c r="M181" s="7">
        <v>0.1173</v>
      </c>
      <c r="N181"/>
      <c r="P181" s="2" t="s">
        <v>44</v>
      </c>
    </row>
    <row r="182" spans="1:16">
      <c r="A182" s="1">
        <v>35785</v>
      </c>
      <c r="B182">
        <v>-62.4</v>
      </c>
      <c r="C182">
        <v>-169.83320000000001</v>
      </c>
      <c r="D182">
        <v>13</v>
      </c>
      <c r="H182" s="12" t="str">
        <f>IFERROR(LOG10(J182/I182),"")</f>
        <v/>
      </c>
      <c r="I182">
        <f>IF(L182="","",L182/1000/1.022)</f>
        <v>8.7886497064579262E-4</v>
      </c>
      <c r="J182">
        <f>IF(M182="","",M182/1000/1.022)</f>
        <v>0</v>
      </c>
      <c r="K182" t="str">
        <f>IF(N182="","",N182/1000/1.022)</f>
        <v/>
      </c>
      <c r="L182" s="6">
        <v>0.8982</v>
      </c>
      <c r="M182" s="7">
        <v>0</v>
      </c>
      <c r="N182"/>
      <c r="P182" s="2" t="s">
        <v>44</v>
      </c>
    </row>
    <row r="183" spans="1:16">
      <c r="A183" s="1">
        <v>35785</v>
      </c>
      <c r="B183">
        <v>-62.4</v>
      </c>
      <c r="C183">
        <v>-169.83320000000001</v>
      </c>
      <c r="D183">
        <v>17</v>
      </c>
      <c r="H183" s="12" t="str">
        <f>IFERROR(LOG10(J183/I183),"")</f>
        <v/>
      </c>
      <c r="I183" t="str">
        <f>IF(L183="","",L183/1000/1.022)</f>
        <v/>
      </c>
      <c r="J183">
        <f>IF(M183="","",M183/1000/1.022)</f>
        <v>0</v>
      </c>
      <c r="K183" t="str">
        <f>IF(N183="","",N183/1000/1.022)</f>
        <v/>
      </c>
      <c r="M183" s="7">
        <v>0</v>
      </c>
      <c r="N183"/>
      <c r="P183" s="2" t="s">
        <v>44</v>
      </c>
    </row>
    <row r="184" spans="1:16">
      <c r="A184" s="1">
        <v>35785</v>
      </c>
      <c r="B184">
        <v>-62.4</v>
      </c>
      <c r="C184">
        <v>-169.83320000000001</v>
      </c>
      <c r="D184">
        <v>22</v>
      </c>
      <c r="H184" s="12">
        <f>IFERROR(LOG10(J184/I184),"")</f>
        <v>-0.86156954937452312</v>
      </c>
      <c r="I184">
        <f>IF(L184="","",L184/1000/1.022)</f>
        <v>1.8140900195694716E-4</v>
      </c>
      <c r="J184">
        <f>IF(M184="","",M184/1000/1.022)</f>
        <v>2.4951076320939334E-5</v>
      </c>
      <c r="K184" t="str">
        <f>IF(N184="","",N184/1000/1.022)</f>
        <v/>
      </c>
      <c r="L184" s="6">
        <v>0.18540000000000001</v>
      </c>
      <c r="M184" s="7">
        <v>2.5499999999999998E-2</v>
      </c>
      <c r="N184"/>
      <c r="P184" s="2" t="s">
        <v>44</v>
      </c>
    </row>
    <row r="185" spans="1:16">
      <c r="A185" s="1">
        <v>35785</v>
      </c>
      <c r="B185">
        <v>-62.4</v>
      </c>
      <c r="C185">
        <v>-169.83320000000001</v>
      </c>
      <c r="D185">
        <v>34</v>
      </c>
      <c r="H185" s="12" t="str">
        <f>IFERROR(LOG10(J185/I185),"")</f>
        <v/>
      </c>
      <c r="I185" t="str">
        <f>IF(L185="","",L185/1000/1.022)</f>
        <v/>
      </c>
      <c r="J185">
        <f>IF(M185="","",M185/1000/1.022)</f>
        <v>1.2524461839530333E-5</v>
      </c>
      <c r="K185" t="str">
        <f>IF(N185="","",N185/1000/1.022)</f>
        <v/>
      </c>
      <c r="M185" s="7">
        <v>1.2800000000000001E-2</v>
      </c>
      <c r="N185"/>
      <c r="P185" s="2" t="s">
        <v>44</v>
      </c>
    </row>
    <row r="186" spans="1:16">
      <c r="A186" s="1">
        <v>35786</v>
      </c>
      <c r="B186">
        <v>-62.4</v>
      </c>
      <c r="C186">
        <v>-169.83320000000001</v>
      </c>
      <c r="D186">
        <v>1</v>
      </c>
      <c r="H186" s="12" t="str">
        <f>IFERROR(LOG10(J186/I186),"")</f>
        <v/>
      </c>
      <c r="I186" t="str">
        <f>IF(L186="","",L186/1000/1.022)</f>
        <v/>
      </c>
      <c r="J186">
        <f>IF(M186="","",M186/1000/1.022)</f>
        <v>2.3189823874755383E-5</v>
      </c>
      <c r="K186" t="str">
        <f>IF(N186="","",N186/1000/1.022)</f>
        <v/>
      </c>
      <c r="M186" s="7">
        <v>2.3699999999999999E-2</v>
      </c>
      <c r="N186"/>
      <c r="P186" s="2" t="s">
        <v>44</v>
      </c>
    </row>
    <row r="187" spans="1:16">
      <c r="A187" s="1">
        <v>35786</v>
      </c>
      <c r="B187">
        <v>-62.4</v>
      </c>
      <c r="C187">
        <v>-169.83320000000001</v>
      </c>
      <c r="D187">
        <v>5</v>
      </c>
      <c r="H187" s="12" t="str">
        <f>IFERROR(LOG10(J187/I187),"")</f>
        <v/>
      </c>
      <c r="I187">
        <f>IF(L187="","",L187/1000/1.022)</f>
        <v>7.326810176125244E-4</v>
      </c>
      <c r="J187" t="str">
        <f>IF(M187="","",M187/1000/1.022)</f>
        <v/>
      </c>
      <c r="K187" t="str">
        <f>IF(N187="","",N187/1000/1.022)</f>
        <v/>
      </c>
      <c r="L187" s="6">
        <v>0.74880000000000002</v>
      </c>
      <c r="N187"/>
      <c r="P187" s="2" t="s">
        <v>44</v>
      </c>
    </row>
    <row r="188" spans="1:16">
      <c r="A188" s="1">
        <v>35786</v>
      </c>
      <c r="B188">
        <v>-62.4</v>
      </c>
      <c r="C188">
        <v>-169.83320000000001</v>
      </c>
      <c r="D188">
        <v>10</v>
      </c>
      <c r="H188" s="12" t="str">
        <f>IFERROR(LOG10(J188/I188),"")</f>
        <v/>
      </c>
      <c r="I188" t="str">
        <f>IF(L188="","",L188/1000/1.022)</f>
        <v/>
      </c>
      <c r="J188">
        <f>IF(M188="","",M188/1000/1.022)</f>
        <v>1.1448140900195694E-5</v>
      </c>
      <c r="K188" t="str">
        <f>IF(N188="","",N188/1000/1.022)</f>
        <v/>
      </c>
      <c r="M188" s="7">
        <v>1.17E-2</v>
      </c>
      <c r="N188"/>
      <c r="P188" s="2" t="s">
        <v>44</v>
      </c>
    </row>
    <row r="189" spans="1:16">
      <c r="A189" s="1">
        <v>35786</v>
      </c>
      <c r="B189">
        <v>-62.398499999999999</v>
      </c>
      <c r="C189">
        <v>-169.83029999999999</v>
      </c>
      <c r="D189">
        <v>13</v>
      </c>
      <c r="H189" s="12">
        <f>IFERROR(LOG10(J189/I189),"")</f>
        <v>-1.4416637207987992</v>
      </c>
      <c r="I189">
        <f>IF(L189="","",L189/1000/1.022)</f>
        <v>3.3816046966731898E-4</v>
      </c>
      <c r="J189">
        <f>IF(M189="","",M189/1000/1.022)</f>
        <v>1.2230919765166341E-5</v>
      </c>
      <c r="K189" t="str">
        <f>IF(N189="","",N189/1000/1.022)</f>
        <v/>
      </c>
      <c r="L189" s="6">
        <v>0.34560000000000002</v>
      </c>
      <c r="M189" s="7">
        <v>1.2500000000000001E-2</v>
      </c>
      <c r="N189"/>
      <c r="P189" s="2" t="s">
        <v>44</v>
      </c>
    </row>
    <row r="190" spans="1:16">
      <c r="A190" s="1">
        <v>35786</v>
      </c>
      <c r="B190">
        <v>-62.398499999999999</v>
      </c>
      <c r="C190">
        <v>-169.83029999999999</v>
      </c>
      <c r="D190">
        <v>17</v>
      </c>
      <c r="H190" s="12" t="str">
        <f>IFERROR(LOG10(J190/I190),"")</f>
        <v/>
      </c>
      <c r="I190" t="str">
        <f>IF(L190="","",L190/1000/1.022)</f>
        <v/>
      </c>
      <c r="J190">
        <f>IF(M190="","",M190/1000/1.022)</f>
        <v>2.8473581213307239E-5</v>
      </c>
      <c r="K190" t="str">
        <f>IF(N190="","",N190/1000/1.022)</f>
        <v/>
      </c>
      <c r="M190" s="7">
        <v>2.9100000000000001E-2</v>
      </c>
      <c r="N190"/>
      <c r="P190" s="2" t="s">
        <v>44</v>
      </c>
    </row>
    <row r="191" spans="1:16">
      <c r="A191" s="1">
        <v>35786</v>
      </c>
      <c r="B191">
        <v>-62.398499999999999</v>
      </c>
      <c r="C191">
        <v>-169.83029999999999</v>
      </c>
      <c r="D191">
        <v>22</v>
      </c>
      <c r="H191" s="12">
        <f>IFERROR(LOG10(J191/I191),"")</f>
        <v>-1.5115927657978059</v>
      </c>
      <c r="I191">
        <f>IF(L191="","",L191/1000/1.022)</f>
        <v>2.9236790606653617E-4</v>
      </c>
      <c r="J191">
        <f>IF(M191="","",M191/1000/1.022)</f>
        <v>9.0019569471624272E-6</v>
      </c>
      <c r="K191" t="str">
        <f>IF(N191="","",N191/1000/1.022)</f>
        <v/>
      </c>
      <c r="L191" s="6">
        <v>0.29880000000000001</v>
      </c>
      <c r="M191" s="7">
        <v>9.1999999999999998E-3</v>
      </c>
      <c r="N191"/>
      <c r="P191" s="2" t="s">
        <v>44</v>
      </c>
    </row>
    <row r="192" spans="1:16">
      <c r="A192" s="1">
        <v>35786</v>
      </c>
      <c r="B192">
        <v>-62.398499999999999</v>
      </c>
      <c r="C192">
        <v>-169.83029999999999</v>
      </c>
      <c r="D192">
        <v>34</v>
      </c>
      <c r="H192" s="12" t="str">
        <f>IFERROR(LOG10(J192/I192),"")</f>
        <v/>
      </c>
      <c r="I192" t="str">
        <f>IF(L192="","",L192/1000/1.022)</f>
        <v/>
      </c>
      <c r="J192">
        <f>IF(M192="","",M192/1000/1.022)</f>
        <v>3.2191780821917808E-5</v>
      </c>
      <c r="K192" t="str">
        <f>IF(N192="","",N192/1000/1.022)</f>
        <v/>
      </c>
      <c r="M192" s="7">
        <v>3.2899999999999999E-2</v>
      </c>
      <c r="N192"/>
      <c r="P192" s="2" t="s">
        <v>44</v>
      </c>
    </row>
    <row r="193" spans="1:16">
      <c r="A193" s="1">
        <v>35786</v>
      </c>
      <c r="B193">
        <v>-62.398499999999999</v>
      </c>
      <c r="C193">
        <v>-169.83029999999999</v>
      </c>
      <c r="D193">
        <v>51</v>
      </c>
      <c r="H193" s="12" t="str">
        <f>IFERROR(LOG10(J193/I193),"")</f>
        <v/>
      </c>
      <c r="I193" t="str">
        <f>IF(L193="","",L193/1000/1.022)</f>
        <v/>
      </c>
      <c r="J193">
        <f>IF(M193="","",M193/1000/1.022)</f>
        <v>1.643835616438356E-5</v>
      </c>
      <c r="K193" t="str">
        <f>IF(N193="","",N193/1000/1.022)</f>
        <v/>
      </c>
      <c r="M193" s="7">
        <v>1.6799999999999999E-2</v>
      </c>
      <c r="N193"/>
      <c r="P193" s="2" t="s">
        <v>44</v>
      </c>
    </row>
    <row r="194" spans="1:16">
      <c r="A194" s="1">
        <v>35790</v>
      </c>
      <c r="B194">
        <v>-55.669800000000002</v>
      </c>
      <c r="C194">
        <v>-171.73670000000001</v>
      </c>
      <c r="D194">
        <v>10</v>
      </c>
      <c r="H194" s="12">
        <f>IFERROR(LOG10(J194/I194),"")</f>
        <v>-1.1565504123512713</v>
      </c>
      <c r="I194">
        <f>IF(L194="","",L194/1000/1.022)</f>
        <v>2.021917808219178E-3</v>
      </c>
      <c r="J194">
        <f>IF(M194="","",M194/1000/1.022)</f>
        <v>1.4099804305283759E-4</v>
      </c>
      <c r="K194" t="str">
        <f>IF(N194="","",N194/1000/1.022)</f>
        <v/>
      </c>
      <c r="L194" s="6">
        <v>2.0663999999999998</v>
      </c>
      <c r="M194" s="7">
        <v>0.14410000000000001</v>
      </c>
      <c r="N194"/>
      <c r="P194" s="2" t="s">
        <v>44</v>
      </c>
    </row>
    <row r="195" spans="1:16">
      <c r="A195" s="1">
        <v>35790</v>
      </c>
      <c r="B195">
        <v>-55.669800000000002</v>
      </c>
      <c r="C195">
        <v>-171.73670000000001</v>
      </c>
      <c r="D195">
        <v>21</v>
      </c>
      <c r="H195" s="12" t="str">
        <f>IFERROR(LOG10(J195/I195),"")</f>
        <v/>
      </c>
      <c r="I195" t="str">
        <f>IF(L195="","",L195/1000/1.022)</f>
        <v/>
      </c>
      <c r="J195">
        <f>IF(M195="","",M195/1000/1.022)</f>
        <v>1.3767123287671234E-4</v>
      </c>
      <c r="K195" t="str">
        <f>IF(N195="","",N195/1000/1.022)</f>
        <v/>
      </c>
      <c r="M195" s="7">
        <v>0.14069999999999999</v>
      </c>
      <c r="N195"/>
      <c r="P195" s="2" t="s">
        <v>44</v>
      </c>
    </row>
    <row r="196" spans="1:16">
      <c r="A196" s="1">
        <v>35790</v>
      </c>
      <c r="B196">
        <v>-55.669800000000002</v>
      </c>
      <c r="C196">
        <v>-171.73670000000001</v>
      </c>
      <c r="D196">
        <v>26</v>
      </c>
      <c r="H196" s="12">
        <f>IFERROR(LOG10(J196/I196),"")</f>
        <v>-0.46744837197717842</v>
      </c>
      <c r="I196">
        <f>IF(L196="","",L196/1000/1.022)</f>
        <v>3.9099804305283759E-4</v>
      </c>
      <c r="J196">
        <f>IF(M196="","",M196/1000/1.022)</f>
        <v>1.3326810176125242E-4</v>
      </c>
      <c r="K196" t="str">
        <f>IF(N196="","",N196/1000/1.022)</f>
        <v/>
      </c>
      <c r="L196" s="6">
        <v>0.39960000000000001</v>
      </c>
      <c r="M196" s="7">
        <v>0.13619999999999999</v>
      </c>
      <c r="N196"/>
      <c r="P196" s="2" t="s">
        <v>44</v>
      </c>
    </row>
    <row r="197" spans="1:16">
      <c r="A197" s="1">
        <v>35790</v>
      </c>
      <c r="B197">
        <v>-55.669800000000002</v>
      </c>
      <c r="C197">
        <v>-171.73670000000001</v>
      </c>
      <c r="D197">
        <v>35</v>
      </c>
      <c r="H197" s="12" t="str">
        <f>IFERROR(LOG10(J197/I197),"")</f>
        <v/>
      </c>
      <c r="I197" t="str">
        <f>IF(L197="","",L197/1000/1.022)</f>
        <v/>
      </c>
      <c r="J197">
        <f>IF(M197="","",M197/1000/1.022)</f>
        <v>1.7426614481409004E-4</v>
      </c>
      <c r="K197" t="str">
        <f>IF(N197="","",N197/1000/1.022)</f>
        <v/>
      </c>
      <c r="M197" s="7">
        <v>0.17810000000000001</v>
      </c>
      <c r="N197"/>
      <c r="P197" s="2" t="s">
        <v>44</v>
      </c>
    </row>
    <row r="198" spans="1:16">
      <c r="A198" s="1">
        <v>35790</v>
      </c>
      <c r="B198">
        <v>-55.669800000000002</v>
      </c>
      <c r="C198">
        <v>-171.73670000000001</v>
      </c>
      <c r="D198">
        <v>45</v>
      </c>
      <c r="H198" s="12">
        <f>IFERROR(LOG10(J198/I198),"")</f>
        <v>-0.45386653077096628</v>
      </c>
      <c r="I198">
        <f>IF(L198="","",L198/1000/1.022)</f>
        <v>5.3365949119373783E-4</v>
      </c>
      <c r="J198">
        <f>IF(M198="","",M198/1000/1.022)</f>
        <v>1.8767123287671234E-4</v>
      </c>
      <c r="K198" t="str">
        <f>IF(N198="","",N198/1000/1.022)</f>
        <v/>
      </c>
      <c r="L198" s="6">
        <v>0.5454</v>
      </c>
      <c r="M198" s="7">
        <v>0.1918</v>
      </c>
      <c r="N198"/>
      <c r="P198" s="2" t="s">
        <v>44</v>
      </c>
    </row>
    <row r="199" spans="1:16">
      <c r="A199" s="1">
        <v>35790</v>
      </c>
      <c r="B199">
        <v>-55.664499999999997</v>
      </c>
      <c r="C199">
        <v>-171.74430000000001</v>
      </c>
      <c r="D199">
        <v>2</v>
      </c>
      <c r="H199" s="12" t="str">
        <f>IFERROR(LOG10(J199/I199),"")</f>
        <v/>
      </c>
      <c r="I199" t="str">
        <f>IF(L199="","",L199/1000/1.022)</f>
        <v/>
      </c>
      <c r="J199">
        <f>IF(M199="","",M199/1000/1.022)</f>
        <v>9.9119373776908022E-5</v>
      </c>
      <c r="K199">
        <f>IF(N199="","",N199/1000/1.022)</f>
        <v>2.5146771037181997E-5</v>
      </c>
      <c r="M199" s="7">
        <v>0.1013</v>
      </c>
      <c r="N199">
        <v>2.5700000000000001E-2</v>
      </c>
      <c r="P199" s="2" t="s">
        <v>44</v>
      </c>
    </row>
    <row r="200" spans="1:16">
      <c r="A200" s="1">
        <v>35790</v>
      </c>
      <c r="B200">
        <v>-55.664499999999997</v>
      </c>
      <c r="C200">
        <v>-171.74430000000001</v>
      </c>
      <c r="D200">
        <v>10</v>
      </c>
      <c r="H200" s="12">
        <f>IFERROR(LOG10(J200/I200),"")</f>
        <v>-0.35991234681190093</v>
      </c>
      <c r="I200">
        <f>IF(L200="","",L200/1000/1.022)</f>
        <v>4.3679060665362035E-4</v>
      </c>
      <c r="J200">
        <f>IF(M200="","",M200/1000/1.022)</f>
        <v>1.9070450097847356E-4</v>
      </c>
      <c r="K200">
        <f>IF(N200="","",N200/1000/1.022)</f>
        <v>4.5205479452054791E-5</v>
      </c>
      <c r="L200" s="6">
        <v>0.44640000000000002</v>
      </c>
      <c r="M200" s="7">
        <v>0.19489999999999999</v>
      </c>
      <c r="N200">
        <v>4.6199999999999998E-2</v>
      </c>
      <c r="P200" s="2" t="s">
        <v>44</v>
      </c>
    </row>
    <row r="201" spans="1:16">
      <c r="A201" s="1">
        <v>35790</v>
      </c>
      <c r="B201">
        <v>-55.664499999999997</v>
      </c>
      <c r="C201">
        <v>-171.74430000000001</v>
      </c>
      <c r="D201">
        <v>21</v>
      </c>
      <c r="H201" s="12" t="str">
        <f>IFERROR(LOG10(J201/I201),"")</f>
        <v/>
      </c>
      <c r="I201" t="str">
        <f>IF(L201="","",L201/1000/1.022)</f>
        <v/>
      </c>
      <c r="J201">
        <f>IF(M201="","",M201/1000/1.022)</f>
        <v>1.4794520547945205E-4</v>
      </c>
      <c r="K201">
        <f>IF(N201="","",N201/1000/1.022)</f>
        <v>3.4540117416829743E-5</v>
      </c>
      <c r="M201" s="7">
        <v>0.1512</v>
      </c>
      <c r="N201">
        <v>3.5299999999999998E-2</v>
      </c>
      <c r="P201" s="2" t="s">
        <v>44</v>
      </c>
    </row>
    <row r="202" spans="1:16">
      <c r="A202" s="1">
        <v>35790</v>
      </c>
      <c r="B202">
        <v>-55.660299999999999</v>
      </c>
      <c r="C202">
        <v>-171.75399999999999</v>
      </c>
      <c r="D202">
        <v>26</v>
      </c>
      <c r="H202" s="12" t="str">
        <f>IFERROR(LOG10(J202/I202),"")</f>
        <v/>
      </c>
      <c r="I202">
        <f>IF(L202="","",L202/1000/1.022)</f>
        <v>1.1747553816046964E-3</v>
      </c>
      <c r="J202" t="str">
        <f>IF(M202="","",M202/1000/1.022)</f>
        <v/>
      </c>
      <c r="K202">
        <f>IF(N202="","",N202/1000/1.022)</f>
        <v>3.7475538160469668E-5</v>
      </c>
      <c r="L202" s="6">
        <v>1.2005999999999999</v>
      </c>
      <c r="N202">
        <v>3.8300000000000001E-2</v>
      </c>
      <c r="P202" s="2" t="s">
        <v>44</v>
      </c>
    </row>
    <row r="203" spans="1:16">
      <c r="A203" s="1">
        <v>35790</v>
      </c>
      <c r="B203">
        <v>-55.660299999999999</v>
      </c>
      <c r="C203">
        <v>-171.75399999999999</v>
      </c>
      <c r="D203">
        <v>35</v>
      </c>
      <c r="H203" s="12" t="str">
        <f>IFERROR(LOG10(J203/I203),"")</f>
        <v/>
      </c>
      <c r="I203" t="str">
        <f>IF(L203="","",L203/1000/1.022)</f>
        <v/>
      </c>
      <c r="J203">
        <f>IF(M203="","",M203/1000/1.022)</f>
        <v>1.4608610567514677E-4</v>
      </c>
      <c r="K203">
        <f>IF(N203="","",N203/1000/1.022)</f>
        <v>2.475538160469667E-5</v>
      </c>
      <c r="M203" s="7">
        <v>0.14929999999999999</v>
      </c>
      <c r="N203">
        <v>2.53E-2</v>
      </c>
      <c r="P203" s="2" t="s">
        <v>44</v>
      </c>
    </row>
    <row r="204" spans="1:16">
      <c r="A204" s="1">
        <v>35790</v>
      </c>
      <c r="B204">
        <v>-55.660299999999999</v>
      </c>
      <c r="C204">
        <v>-171.75399999999999</v>
      </c>
      <c r="D204">
        <v>45</v>
      </c>
      <c r="H204" s="12">
        <f>IFERROR(LOG10(J204/I204),"")</f>
        <v>-0.61168997528025548</v>
      </c>
      <c r="I204">
        <f>IF(L204="","",L204/1000/1.022)</f>
        <v>5.3542074363992177E-4</v>
      </c>
      <c r="J204">
        <f>IF(M204="","",M204/1000/1.022)</f>
        <v>1.3091976516634051E-4</v>
      </c>
      <c r="K204">
        <f>IF(N204="","",N204/1000/1.022)</f>
        <v>1.6536203522504888E-5</v>
      </c>
      <c r="L204" s="6">
        <v>0.54720000000000002</v>
      </c>
      <c r="M204" s="7">
        <v>0.1338</v>
      </c>
      <c r="N204">
        <v>1.6899999999999998E-2</v>
      </c>
      <c r="P204" s="2" t="s">
        <v>44</v>
      </c>
    </row>
    <row r="205" spans="1:16">
      <c r="A205" s="1">
        <v>35790</v>
      </c>
      <c r="B205">
        <v>-55.660299999999999</v>
      </c>
      <c r="C205">
        <v>-171.75399999999999</v>
      </c>
      <c r="D205">
        <v>69</v>
      </c>
      <c r="H205" s="12" t="str">
        <f>IFERROR(LOG10(J205/I205),"")</f>
        <v/>
      </c>
      <c r="I205" t="str">
        <f>IF(L205="","",L205/1000/1.022)</f>
        <v/>
      </c>
      <c r="J205">
        <f>IF(M205="","",M205/1000/1.022)</f>
        <v>5.0880626223091971E-5</v>
      </c>
      <c r="K205">
        <f>IF(N205="","",N205/1000/1.022)</f>
        <v>9.3933463796477491E-6</v>
      </c>
      <c r="M205" s="7">
        <v>5.1999999999999998E-2</v>
      </c>
      <c r="N205">
        <v>9.5999999999999992E-3</v>
      </c>
      <c r="P205" s="2" t="s">
        <v>44</v>
      </c>
    </row>
    <row r="206" spans="1:16">
      <c r="A206" s="1">
        <v>35790</v>
      </c>
      <c r="B206">
        <v>-55.660299999999999</v>
      </c>
      <c r="C206">
        <v>-171.75399999999999</v>
      </c>
      <c r="D206">
        <v>104</v>
      </c>
      <c r="H206" s="12" t="str">
        <f>IFERROR(LOG10(J206/I206),"")</f>
        <v/>
      </c>
      <c r="I206" t="str">
        <f>IF(L206="","",L206/1000/1.022)</f>
        <v/>
      </c>
      <c r="J206">
        <f>IF(M206="","",M206/1000/1.022)</f>
        <v>2.9549902152641882E-5</v>
      </c>
      <c r="K206">
        <f>IF(N206="","",N206/1000/1.022)</f>
        <v>2.8375733855185909E-6</v>
      </c>
      <c r="M206" s="7">
        <v>3.0200000000000001E-2</v>
      </c>
      <c r="N206">
        <v>2.8999999999999998E-3</v>
      </c>
      <c r="P206" s="2" t="s">
        <v>44</v>
      </c>
    </row>
    <row r="207" spans="1:16">
      <c r="A207" s="1">
        <v>35791</v>
      </c>
      <c r="B207">
        <v>-54.334000000000003</v>
      </c>
      <c r="C207">
        <v>-173.33369999999999</v>
      </c>
      <c r="D207">
        <v>6</v>
      </c>
      <c r="H207" s="12" t="str">
        <f>IFERROR(LOG10(J207/I207),"")</f>
        <v/>
      </c>
      <c r="I207">
        <f>IF(L207="","",L207/1000/1.022)</f>
        <v>6.7808219178082179E-4</v>
      </c>
      <c r="J207" t="str">
        <f>IF(M207="","",M207/1000/1.022)</f>
        <v/>
      </c>
      <c r="K207" t="str">
        <f>IF(N207="","",N207/1000/1.022)</f>
        <v/>
      </c>
      <c r="L207" s="6">
        <v>0.69299999999999995</v>
      </c>
      <c r="N207"/>
      <c r="P207" s="2" t="s">
        <v>44</v>
      </c>
    </row>
    <row r="208" spans="1:16">
      <c r="A208" s="1">
        <v>35791</v>
      </c>
      <c r="B208">
        <v>-54.334000000000003</v>
      </c>
      <c r="C208">
        <v>-173.33369999999999</v>
      </c>
      <c r="D208">
        <v>13</v>
      </c>
      <c r="H208" s="12" t="str">
        <f>IFERROR(LOG10(J208/I208),"")</f>
        <v/>
      </c>
      <c r="I208" t="str">
        <f>IF(L208="","",L208/1000/1.022)</f>
        <v/>
      </c>
      <c r="J208">
        <f>IF(M208="","",M208/1000/1.022)</f>
        <v>3.7984344422700586E-4</v>
      </c>
      <c r="K208" t="str">
        <f>IF(N208="","",N208/1000/1.022)</f>
        <v/>
      </c>
      <c r="M208" s="7">
        <v>0.38819999999999999</v>
      </c>
      <c r="N208"/>
      <c r="P208" s="2" t="s">
        <v>44</v>
      </c>
    </row>
    <row r="209" spans="1:16">
      <c r="A209" s="1">
        <v>35791</v>
      </c>
      <c r="B209">
        <v>-54.334000000000003</v>
      </c>
      <c r="C209">
        <v>-173.33369999999999</v>
      </c>
      <c r="D209">
        <v>15</v>
      </c>
      <c r="H209" s="12" t="str">
        <f>IFERROR(LOG10(J209/I209),"")</f>
        <v/>
      </c>
      <c r="I209">
        <f>IF(L209="","",L209/1000/1.022)</f>
        <v>6.0587084148727981E-4</v>
      </c>
      <c r="J209" t="str">
        <f>IF(M209="","",M209/1000/1.022)</f>
        <v/>
      </c>
      <c r="K209" t="str">
        <f>IF(N209="","",N209/1000/1.022)</f>
        <v/>
      </c>
      <c r="L209" s="6">
        <v>0.61919999999999997</v>
      </c>
      <c r="N209"/>
      <c r="P209" s="2" t="s">
        <v>44</v>
      </c>
    </row>
    <row r="210" spans="1:16">
      <c r="A210" s="1">
        <v>35791</v>
      </c>
      <c r="B210">
        <v>-54.334000000000003</v>
      </c>
      <c r="C210">
        <v>-173.33369999999999</v>
      </c>
      <c r="D210">
        <v>21</v>
      </c>
      <c r="H210" s="12" t="str">
        <f>IFERROR(LOG10(J210/I210),"")</f>
        <v/>
      </c>
      <c r="I210" t="str">
        <f>IF(L210="","",L210/1000/1.022)</f>
        <v/>
      </c>
      <c r="J210">
        <f>IF(M210="","",M210/1000/1.022)</f>
        <v>2.9892367906066538E-4</v>
      </c>
      <c r="K210" t="str">
        <f>IF(N210="","",N210/1000/1.022)</f>
        <v/>
      </c>
      <c r="M210" s="7">
        <v>0.30549999999999999</v>
      </c>
      <c r="N210"/>
      <c r="P210" s="2" t="s">
        <v>44</v>
      </c>
    </row>
    <row r="211" spans="1:16">
      <c r="A211" s="1">
        <v>35791</v>
      </c>
      <c r="B211">
        <v>-54.334000000000003</v>
      </c>
      <c r="C211">
        <v>-173.33369999999999</v>
      </c>
      <c r="D211">
        <v>27</v>
      </c>
      <c r="H211" s="12" t="str">
        <f>IFERROR(LOG10(J211/I211),"")</f>
        <v/>
      </c>
      <c r="I211">
        <f>IF(L211="","",L211/1000/1.022)</f>
        <v>6.0763209393346386E-4</v>
      </c>
      <c r="J211" t="str">
        <f>IF(M211="","",M211/1000/1.022)</f>
        <v/>
      </c>
      <c r="K211" t="str">
        <f>IF(N211="","",N211/1000/1.022)</f>
        <v/>
      </c>
      <c r="L211" s="6">
        <v>0.621</v>
      </c>
      <c r="N211"/>
      <c r="P211" s="2" t="s">
        <v>44</v>
      </c>
    </row>
    <row r="212" spans="1:16">
      <c r="A212" s="1">
        <v>35791</v>
      </c>
      <c r="B212">
        <v>-54.334000000000003</v>
      </c>
      <c r="C212">
        <v>-173.33369999999999</v>
      </c>
      <c r="D212">
        <v>42</v>
      </c>
      <c r="H212" s="12" t="str">
        <f>IFERROR(LOG10(J212/I212),"")</f>
        <v/>
      </c>
      <c r="I212" t="str">
        <f>IF(L212="","",L212/1000/1.022)</f>
        <v/>
      </c>
      <c r="J212">
        <f>IF(M212="","",M212/1000/1.022)</f>
        <v>2.0547945205479451E-4</v>
      </c>
      <c r="K212" t="str">
        <f>IF(N212="","",N212/1000/1.022)</f>
        <v/>
      </c>
      <c r="M212" s="7">
        <v>0.21</v>
      </c>
      <c r="N212"/>
      <c r="P212" s="2" t="s">
        <v>44</v>
      </c>
    </row>
    <row r="213" spans="1:16">
      <c r="A213" s="1">
        <v>35792</v>
      </c>
      <c r="B213">
        <v>-54.333300000000001</v>
      </c>
      <c r="C213">
        <v>-173.33330000000001</v>
      </c>
      <c r="D213">
        <v>1</v>
      </c>
      <c r="H213" s="12" t="str">
        <f>IFERROR(LOG10(J213/I213),"")</f>
        <v/>
      </c>
      <c r="I213" t="str">
        <f>IF(L213="","",L213/1000/1.022)</f>
        <v/>
      </c>
      <c r="J213" t="str">
        <f>IF(M213="","",M213/1000/1.022)</f>
        <v/>
      </c>
      <c r="K213">
        <f>IF(N213="","",N213/1000/1.022)</f>
        <v>1.9285714285714284E-4</v>
      </c>
      <c r="N213">
        <v>0.1971</v>
      </c>
      <c r="P213" s="2" t="s">
        <v>44</v>
      </c>
    </row>
    <row r="214" spans="1:16">
      <c r="A214" s="1">
        <v>35792</v>
      </c>
      <c r="B214">
        <v>-54.333300000000001</v>
      </c>
      <c r="C214">
        <v>-173.33330000000001</v>
      </c>
      <c r="D214">
        <v>6</v>
      </c>
      <c r="H214" s="12" t="str">
        <f>IFERROR(LOG10(J214/I214),"")</f>
        <v/>
      </c>
      <c r="I214">
        <f>IF(L214="","",L214/1000/1.022)</f>
        <v>4.1389432485322894E-4</v>
      </c>
      <c r="J214" t="str">
        <f>IF(M214="","",M214/1000/1.022)</f>
        <v/>
      </c>
      <c r="K214">
        <f>IF(N214="","",N214/1000/1.022)</f>
        <v>1.2387475538160468E-4</v>
      </c>
      <c r="L214" s="6">
        <v>0.42299999999999999</v>
      </c>
      <c r="N214">
        <v>0.12659999999999999</v>
      </c>
      <c r="P214" s="2" t="s">
        <v>44</v>
      </c>
    </row>
    <row r="215" spans="1:16">
      <c r="A215" s="1">
        <v>35792</v>
      </c>
      <c r="B215">
        <v>-54.333300000000001</v>
      </c>
      <c r="C215">
        <v>-173.33330000000001</v>
      </c>
      <c r="D215">
        <v>13</v>
      </c>
      <c r="H215" s="12" t="str">
        <f>IFERROR(LOG10(J215/I215),"")</f>
        <v/>
      </c>
      <c r="I215" t="str">
        <f>IF(L215="","",L215/1000/1.022)</f>
        <v/>
      </c>
      <c r="J215" t="str">
        <f>IF(M215="","",M215/1000/1.022)</f>
        <v/>
      </c>
      <c r="K215">
        <f>IF(N215="","",N215/1000/1.022)</f>
        <v>1.6692759295499021E-4</v>
      </c>
      <c r="N215">
        <v>0.1706</v>
      </c>
      <c r="P215" s="2" t="s">
        <v>44</v>
      </c>
    </row>
    <row r="216" spans="1:16">
      <c r="A216" s="1">
        <v>35792</v>
      </c>
      <c r="B216">
        <v>-54.333300000000001</v>
      </c>
      <c r="C216">
        <v>-173.33330000000001</v>
      </c>
      <c r="D216">
        <v>15</v>
      </c>
      <c r="H216" s="12" t="str">
        <f>IFERROR(LOG10(J216/I216),"")</f>
        <v/>
      </c>
      <c r="I216">
        <f>IF(L216="","",L216/1000/1.022)</f>
        <v>8.0665362035225042E-4</v>
      </c>
      <c r="J216" t="str">
        <f>IF(M216="","",M216/1000/1.022)</f>
        <v/>
      </c>
      <c r="K216">
        <f>IF(N216="","",N216/1000/1.022)</f>
        <v>1.4363992172211352E-4</v>
      </c>
      <c r="L216" s="6">
        <v>0.82440000000000002</v>
      </c>
      <c r="N216">
        <v>0.14680000000000001</v>
      </c>
      <c r="P216" s="2" t="s">
        <v>44</v>
      </c>
    </row>
    <row r="217" spans="1:16">
      <c r="A217" s="1">
        <v>35792</v>
      </c>
      <c r="B217">
        <v>-54.333300000000001</v>
      </c>
      <c r="C217">
        <v>-173.33330000000001</v>
      </c>
      <c r="D217">
        <v>21</v>
      </c>
      <c r="H217" s="12" t="str">
        <f>IFERROR(LOG10(J217/I217),"")</f>
        <v/>
      </c>
      <c r="I217" t="str">
        <f>IF(L217="","",L217/1000/1.022)</f>
        <v/>
      </c>
      <c r="J217" t="str">
        <f>IF(M217="","",M217/1000/1.022)</f>
        <v/>
      </c>
      <c r="K217">
        <f>IF(N217="","",N217/1000/1.022)</f>
        <v>7.0156555772994125E-5</v>
      </c>
      <c r="N217">
        <v>7.17E-2</v>
      </c>
      <c r="P217" s="2" t="s">
        <v>44</v>
      </c>
    </row>
    <row r="218" spans="1:16">
      <c r="A218" s="1">
        <v>35792</v>
      </c>
      <c r="B218">
        <v>-54.333300000000001</v>
      </c>
      <c r="C218">
        <v>-173.33330000000001</v>
      </c>
      <c r="D218">
        <v>27</v>
      </c>
      <c r="H218" s="12" t="str">
        <f>IFERROR(LOG10(J218/I218),"")</f>
        <v/>
      </c>
      <c r="I218">
        <f>IF(L218="","",L218/1000/1.022)</f>
        <v>7.6086105675146761E-4</v>
      </c>
      <c r="J218" t="str">
        <f>IF(M218="","",M218/1000/1.022)</f>
        <v/>
      </c>
      <c r="K218">
        <f>IF(N218="","",N218/1000/1.022)</f>
        <v>3.6497064579256357E-5</v>
      </c>
      <c r="L218" s="6">
        <v>0.77759999999999996</v>
      </c>
      <c r="N218">
        <v>3.73E-2</v>
      </c>
      <c r="P218" s="2" t="s">
        <v>44</v>
      </c>
    </row>
    <row r="219" spans="1:16">
      <c r="A219" s="1">
        <v>35792</v>
      </c>
      <c r="B219">
        <v>-54.333300000000001</v>
      </c>
      <c r="C219">
        <v>-173.33330000000001</v>
      </c>
      <c r="D219">
        <v>42</v>
      </c>
      <c r="H219" s="12" t="str">
        <f>IFERROR(LOG10(J219/I219),"")</f>
        <v/>
      </c>
      <c r="I219" t="str">
        <f>IF(L219="","",L219/1000/1.022)</f>
        <v/>
      </c>
      <c r="J219" t="str">
        <f>IF(M219="","",M219/1000/1.022)</f>
        <v/>
      </c>
      <c r="K219">
        <f>IF(N219="","",N219/1000/1.022)</f>
        <v>1.7025440313111544E-5</v>
      </c>
      <c r="N219">
        <v>1.7399999999999999E-2</v>
      </c>
      <c r="P219" s="2" t="s">
        <v>44</v>
      </c>
    </row>
    <row r="220" spans="1:16">
      <c r="A220" s="1">
        <v>35792</v>
      </c>
      <c r="B220">
        <v>-54.333300000000001</v>
      </c>
      <c r="C220">
        <v>-173.33330000000001</v>
      </c>
      <c r="D220">
        <v>62</v>
      </c>
      <c r="H220" s="12" t="str">
        <f>IFERROR(LOG10(J220/I220),"")</f>
        <v/>
      </c>
      <c r="I220" t="str">
        <f>IF(L220="","",L220/1000/1.022)</f>
        <v/>
      </c>
      <c r="J220" t="str">
        <f>IF(M220="","",M220/1000/1.022)</f>
        <v/>
      </c>
      <c r="K220">
        <f>IF(N220="","",N220/1000/1.022)</f>
        <v>1.2328767123287671E-5</v>
      </c>
      <c r="N220">
        <v>1.26E-2</v>
      </c>
      <c r="P220" s="2" t="s">
        <v>44</v>
      </c>
    </row>
    <row r="221" spans="1:16">
      <c r="A221" s="1">
        <v>35793</v>
      </c>
      <c r="B221">
        <v>-52.938800000000001</v>
      </c>
      <c r="C221">
        <v>-174.7217</v>
      </c>
      <c r="D221">
        <v>11</v>
      </c>
      <c r="H221" s="12" t="str">
        <f>IFERROR(LOG10(J221/I221),"")</f>
        <v/>
      </c>
      <c r="I221">
        <f>IF(L221="","",L221/1000/1.022)</f>
        <v>1.3561643835616438E-4</v>
      </c>
      <c r="J221" t="str">
        <f>IF(M221="","",M221/1000/1.022)</f>
        <v/>
      </c>
      <c r="K221" t="str">
        <f>IF(N221="","",N221/1000/1.022)</f>
        <v/>
      </c>
      <c r="L221" s="6">
        <v>0.1386</v>
      </c>
      <c r="N221"/>
      <c r="P221" s="2" t="s">
        <v>44</v>
      </c>
    </row>
    <row r="222" spans="1:16">
      <c r="A222" s="1">
        <v>35793</v>
      </c>
      <c r="B222">
        <v>-52.938800000000001</v>
      </c>
      <c r="C222">
        <v>-174.7217</v>
      </c>
      <c r="D222">
        <v>26</v>
      </c>
      <c r="H222" s="12" t="str">
        <f>IFERROR(LOG10(J222/I222),"")</f>
        <v/>
      </c>
      <c r="I222">
        <f>IF(L222="","",L222/1000/1.022)</f>
        <v>2.9412915851272016E-4</v>
      </c>
      <c r="J222" t="str">
        <f>IF(M222="","",M222/1000/1.022)</f>
        <v/>
      </c>
      <c r="K222" t="str">
        <f>IF(N222="","",N222/1000/1.022)</f>
        <v/>
      </c>
      <c r="L222" s="6">
        <v>0.30059999999999998</v>
      </c>
      <c r="N222"/>
      <c r="P222" s="2" t="s">
        <v>44</v>
      </c>
    </row>
    <row r="223" spans="1:16">
      <c r="A223" s="1">
        <v>35793</v>
      </c>
      <c r="B223">
        <v>-52.938800000000001</v>
      </c>
      <c r="C223">
        <v>-174.7217</v>
      </c>
      <c r="D223">
        <v>46</v>
      </c>
      <c r="H223" s="12" t="str">
        <f>IFERROR(LOG10(J223/I223),"")</f>
        <v/>
      </c>
      <c r="I223">
        <f>IF(L223="","",L223/1000/1.022)</f>
        <v>1.0074363992172211E-3</v>
      </c>
      <c r="J223" t="str">
        <f>IF(M223="","",M223/1000/1.022)</f>
        <v/>
      </c>
      <c r="K223" t="str">
        <f>IF(N223="","",N223/1000/1.022)</f>
        <v/>
      </c>
      <c r="L223" s="6">
        <v>1.0296000000000001</v>
      </c>
      <c r="N223"/>
      <c r="P223" s="2" t="s">
        <v>44</v>
      </c>
    </row>
    <row r="224" spans="1:16">
      <c r="A224" s="1">
        <v>35793</v>
      </c>
      <c r="B224">
        <v>-52.938800000000001</v>
      </c>
      <c r="C224">
        <v>-174.7217</v>
      </c>
      <c r="D224">
        <v>70</v>
      </c>
      <c r="H224" s="12" t="str">
        <f>IFERROR(LOG10(J224/I224),"")</f>
        <v/>
      </c>
      <c r="I224">
        <f>IF(L224="","",L224/1000/1.022)</f>
        <v>2.060665362035225E-4</v>
      </c>
      <c r="J224" t="str">
        <f>IF(M224="","",M224/1000/1.022)</f>
        <v/>
      </c>
      <c r="K224" t="str">
        <f>IF(N224="","",N224/1000/1.022)</f>
        <v/>
      </c>
      <c r="L224" s="6">
        <v>0.21060000000000001</v>
      </c>
      <c r="N224"/>
      <c r="P224" s="2" t="s">
        <v>44</v>
      </c>
    </row>
    <row r="225" spans="1:16">
      <c r="A225" s="1">
        <v>35794</v>
      </c>
      <c r="B225">
        <v>-52.982300000000002</v>
      </c>
      <c r="C225">
        <v>-174.6173</v>
      </c>
      <c r="D225">
        <v>2</v>
      </c>
      <c r="H225" s="12" t="str">
        <f>IFERROR(LOG10(J225/I225),"")</f>
        <v/>
      </c>
      <c r="I225" t="str">
        <f>IF(L225="","",L225/1000/1.022)</f>
        <v/>
      </c>
      <c r="J225" t="str">
        <f>IF(M225="","",M225/1000/1.022)</f>
        <v/>
      </c>
      <c r="K225">
        <f>IF(N225="","",N225/1000/1.022)</f>
        <v>3.9334637964774954E-5</v>
      </c>
      <c r="N225">
        <v>4.02E-2</v>
      </c>
      <c r="P225" s="2" t="s">
        <v>44</v>
      </c>
    </row>
    <row r="226" spans="1:16">
      <c r="A226" s="1">
        <v>35794</v>
      </c>
      <c r="B226">
        <v>-52.982300000000002</v>
      </c>
      <c r="C226">
        <v>-174.6173</v>
      </c>
      <c r="D226">
        <v>11</v>
      </c>
      <c r="H226" s="12" t="str">
        <f>IFERROR(LOG10(J226/I226),"")</f>
        <v/>
      </c>
      <c r="I226">
        <f>IF(L226="","",L226/1000/1.022)</f>
        <v>2.8180039138943244E-4</v>
      </c>
      <c r="J226" t="str">
        <f>IF(M226="","",M226/1000/1.022)</f>
        <v/>
      </c>
      <c r="K226">
        <f>IF(N226="","",N226/1000/1.022)</f>
        <v>4.3737769080234832E-5</v>
      </c>
      <c r="L226" s="6">
        <v>0.28799999999999998</v>
      </c>
      <c r="N226">
        <v>4.4699999999999997E-2</v>
      </c>
      <c r="P226" s="2" t="s">
        <v>44</v>
      </c>
    </row>
    <row r="227" spans="1:16">
      <c r="A227" s="1">
        <v>35794</v>
      </c>
      <c r="B227">
        <v>-52.982300000000002</v>
      </c>
      <c r="C227">
        <v>-174.6173</v>
      </c>
      <c r="D227">
        <v>21</v>
      </c>
      <c r="H227" s="12" t="str">
        <f>IFERROR(LOG10(J227/I227),"")</f>
        <v/>
      </c>
      <c r="I227" t="str">
        <f>IF(L227="","",L227/1000/1.022)</f>
        <v/>
      </c>
      <c r="J227" t="str">
        <f>IF(M227="","",M227/1000/1.022)</f>
        <v/>
      </c>
      <c r="K227">
        <f>IF(N227="","",N227/1000/1.022)</f>
        <v>4.833659491193738E-5</v>
      </c>
      <c r="N227">
        <v>4.9399999999999999E-2</v>
      </c>
      <c r="P227" s="2" t="s">
        <v>44</v>
      </c>
    </row>
    <row r="228" spans="1:16">
      <c r="A228" s="1">
        <v>35794</v>
      </c>
      <c r="B228">
        <v>-52.989699999999999</v>
      </c>
      <c r="C228">
        <v>-174.5872</v>
      </c>
      <c r="D228">
        <v>26</v>
      </c>
      <c r="H228" s="12" t="str">
        <f>IFERROR(LOG10(J228/I228),"")</f>
        <v/>
      </c>
      <c r="I228">
        <f>IF(L228="","",L228/1000/1.022)</f>
        <v>3.0117416829745597E-4</v>
      </c>
      <c r="J228" t="str">
        <f>IF(M228="","",M228/1000/1.022)</f>
        <v/>
      </c>
      <c r="K228">
        <f>IF(N228="","",N228/1000/1.022)</f>
        <v>3.8258317025440315E-5</v>
      </c>
      <c r="L228" s="6">
        <v>0.30780000000000002</v>
      </c>
      <c r="N228">
        <v>3.9100000000000003E-2</v>
      </c>
      <c r="P228" s="2" t="s">
        <v>44</v>
      </c>
    </row>
    <row r="229" spans="1:16">
      <c r="A229" s="1">
        <v>35794</v>
      </c>
      <c r="B229">
        <v>-52.989699999999999</v>
      </c>
      <c r="C229">
        <v>-174.5872</v>
      </c>
      <c r="D229">
        <v>35</v>
      </c>
      <c r="H229" s="12" t="str">
        <f>IFERROR(LOG10(J229/I229),"")</f>
        <v/>
      </c>
      <c r="I229" t="str">
        <f>IF(L229="","",L229/1000/1.022)</f>
        <v/>
      </c>
      <c r="J229" t="str">
        <f>IF(M229="","",M229/1000/1.022)</f>
        <v/>
      </c>
      <c r="K229">
        <f>IF(N229="","",N229/1000/1.022)</f>
        <v>2.5929549902152641E-5</v>
      </c>
      <c r="N229">
        <v>2.6499999999999999E-2</v>
      </c>
      <c r="P229" s="2" t="s">
        <v>44</v>
      </c>
    </row>
    <row r="230" spans="1:16">
      <c r="A230" s="1">
        <v>35794</v>
      </c>
      <c r="B230">
        <v>-52.989699999999999</v>
      </c>
      <c r="C230">
        <v>-174.5872</v>
      </c>
      <c r="D230">
        <v>46</v>
      </c>
      <c r="H230" s="12" t="str">
        <f>IFERROR(LOG10(J230/I230),"")</f>
        <v/>
      </c>
      <c r="I230">
        <f>IF(L230="","",L230/1000/1.022)</f>
        <v>2.6418786692759293E-5</v>
      </c>
      <c r="J230" t="str">
        <f>IF(M230="","",M230/1000/1.022)</f>
        <v/>
      </c>
      <c r="K230">
        <f>IF(N230="","",N230/1000/1.022)</f>
        <v>1.7906066536203523E-5</v>
      </c>
      <c r="L230" s="6">
        <v>2.7E-2</v>
      </c>
      <c r="N230">
        <v>1.83E-2</v>
      </c>
      <c r="P230" s="2" t="s">
        <v>44</v>
      </c>
    </row>
    <row r="231" spans="1:16">
      <c r="A231" s="1">
        <v>35794</v>
      </c>
      <c r="B231">
        <v>-52.989699999999999</v>
      </c>
      <c r="C231">
        <v>-174.5872</v>
      </c>
      <c r="D231">
        <v>70</v>
      </c>
      <c r="H231" s="12" t="str">
        <f>IFERROR(LOG10(J231/I231),"")</f>
        <v/>
      </c>
      <c r="I231">
        <f>IF(L231="","",L231/1000/1.022)</f>
        <v>3.5225048923679055E-5</v>
      </c>
      <c r="J231" t="str">
        <f>IF(M231="","",M231/1000/1.022)</f>
        <v/>
      </c>
      <c r="K231">
        <f>IF(N231="","",N231/1000/1.022)</f>
        <v>4.01174168297456E-6</v>
      </c>
      <c r="L231" s="6">
        <v>3.5999999999999997E-2</v>
      </c>
      <c r="N231">
        <v>4.1000000000000003E-3</v>
      </c>
      <c r="P231" s="2" t="s">
        <v>44</v>
      </c>
    </row>
    <row r="232" spans="1:16">
      <c r="A232" s="1">
        <v>35794</v>
      </c>
      <c r="B232">
        <v>-52.989699999999999</v>
      </c>
      <c r="C232">
        <v>-174.5872</v>
      </c>
      <c r="D232">
        <v>105</v>
      </c>
      <c r="H232" s="12" t="str">
        <f>IFERROR(LOG10(J232/I232),"")</f>
        <v/>
      </c>
      <c r="I232" t="str">
        <f>IF(L232="","",L232/1000/1.022)</f>
        <v/>
      </c>
      <c r="J232" t="str">
        <f>IF(M232="","",M232/1000/1.022)</f>
        <v/>
      </c>
      <c r="K232">
        <f>IF(N232="","",N232/1000/1.022)</f>
        <v>2.3483365949119373E-6</v>
      </c>
      <c r="N232">
        <v>2.3999999999999998E-3</v>
      </c>
      <c r="P232" s="2" t="s">
        <v>44</v>
      </c>
    </row>
    <row r="233" spans="1:16">
      <c r="A233" s="1">
        <v>35842</v>
      </c>
      <c r="B233">
        <v>-52.966900000000003</v>
      </c>
      <c r="C233">
        <v>-174.73164</v>
      </c>
      <c r="D233">
        <v>4</v>
      </c>
      <c r="H233" s="12" t="str">
        <f>IFERROR(LOG10(J233/I233),"")</f>
        <v/>
      </c>
      <c r="I233" t="str">
        <f>IF(L233="","",L233/1000/1.022)</f>
        <v/>
      </c>
      <c r="J233" t="str">
        <f>IF(M233="","",M233/1000/1.022)</f>
        <v/>
      </c>
      <c r="K233">
        <f>IF(N233="","",N233/1000/1.022)</f>
        <v>7.045009784735811E-5</v>
      </c>
      <c r="N233">
        <v>7.1999999999999995E-2</v>
      </c>
      <c r="P233" s="2" t="s">
        <v>44</v>
      </c>
    </row>
    <row r="234" spans="1:16">
      <c r="A234" s="1">
        <v>35842</v>
      </c>
      <c r="B234">
        <v>-52.966900000000003</v>
      </c>
      <c r="C234">
        <v>-174.73164</v>
      </c>
      <c r="D234">
        <v>12</v>
      </c>
      <c r="H234" s="12" t="str">
        <f>IFERROR(LOG10(J234/I234),"")</f>
        <v/>
      </c>
      <c r="I234">
        <f>IF(L234="","",L234/1000/1.022)</f>
        <v>5.9882583170254406E-4</v>
      </c>
      <c r="J234" t="str">
        <f>IF(M234="","",M234/1000/1.022)</f>
        <v/>
      </c>
      <c r="K234">
        <f>IF(N234="","",N234/1000/1.022)</f>
        <v>4.7749510763209396E-5</v>
      </c>
      <c r="L234" s="6">
        <v>0.61199999999999999</v>
      </c>
      <c r="N234">
        <v>4.8800000000000003E-2</v>
      </c>
      <c r="P234" s="2" t="s">
        <v>44</v>
      </c>
    </row>
    <row r="235" spans="1:16">
      <c r="A235" s="1">
        <v>35842</v>
      </c>
      <c r="B235">
        <v>-52.966900000000003</v>
      </c>
      <c r="C235">
        <v>-174.73164</v>
      </c>
      <c r="D235">
        <v>22</v>
      </c>
      <c r="H235" s="12" t="str">
        <f>IFERROR(LOG10(J235/I235),"")</f>
        <v/>
      </c>
      <c r="I235" t="str">
        <f>IF(L235="","",L235/1000/1.022)</f>
        <v/>
      </c>
      <c r="J235" t="str">
        <f>IF(M235="","",M235/1000/1.022)</f>
        <v/>
      </c>
      <c r="K235">
        <f>IF(N235="","",N235/1000/1.022)</f>
        <v>5.3326810176125241E-5</v>
      </c>
      <c r="N235">
        <v>5.45E-2</v>
      </c>
      <c r="P235" s="2" t="s">
        <v>44</v>
      </c>
    </row>
    <row r="236" spans="1:16">
      <c r="A236" s="1">
        <v>35842</v>
      </c>
      <c r="B236">
        <v>-52.966900000000003</v>
      </c>
      <c r="C236">
        <v>-174.73164</v>
      </c>
      <c r="D236">
        <v>28</v>
      </c>
      <c r="H236" s="12" t="str">
        <f>IFERROR(LOG10(J236/I236),"")</f>
        <v/>
      </c>
      <c r="I236">
        <f>IF(L236="","",L236/1000/1.022)</f>
        <v>9.9334637964774964E-4</v>
      </c>
      <c r="J236" t="str">
        <f>IF(M236="","",M236/1000/1.022)</f>
        <v/>
      </c>
      <c r="K236">
        <f>IF(N236="","",N236/1000/1.022)</f>
        <v>5.2739726027397264E-5</v>
      </c>
      <c r="L236" s="6">
        <v>1.0152000000000001</v>
      </c>
      <c r="N236">
        <v>5.3900000000000003E-2</v>
      </c>
      <c r="P236" s="2" t="s">
        <v>44</v>
      </c>
    </row>
    <row r="237" spans="1:16">
      <c r="A237" s="1">
        <v>35842</v>
      </c>
      <c r="B237">
        <v>-52.966900000000003</v>
      </c>
      <c r="C237">
        <v>-174.73164</v>
      </c>
      <c r="D237">
        <v>36</v>
      </c>
      <c r="H237" s="12" t="str">
        <f>IFERROR(LOG10(J237/I237),"")</f>
        <v/>
      </c>
      <c r="I237" t="str">
        <f>IF(L237="","",L237/1000/1.022)</f>
        <v/>
      </c>
      <c r="J237" t="str">
        <f>IF(M237="","",M237/1000/1.022)</f>
        <v/>
      </c>
      <c r="K237">
        <f>IF(N237="","",N237/1000/1.022)</f>
        <v>2.2602739726027396E-5</v>
      </c>
      <c r="N237">
        <v>2.3099999999999999E-2</v>
      </c>
      <c r="P237" s="2" t="s">
        <v>44</v>
      </c>
    </row>
    <row r="238" spans="1:16">
      <c r="A238" s="1">
        <v>35842</v>
      </c>
      <c r="B238">
        <v>-52.966900000000003</v>
      </c>
      <c r="C238">
        <v>-174.73164</v>
      </c>
      <c r="D238">
        <v>48</v>
      </c>
      <c r="H238" s="12" t="str">
        <f>IFERROR(LOG10(J238/I238),"")</f>
        <v/>
      </c>
      <c r="I238">
        <f>IF(L238="","",L238/1000/1.022)</f>
        <v>3.2407045009784732E-4</v>
      </c>
      <c r="J238" t="str">
        <f>IF(M238="","",M238/1000/1.022)</f>
        <v/>
      </c>
      <c r="K238">
        <f>IF(N238="","",N238/1000/1.022)</f>
        <v>1.076320939334638E-5</v>
      </c>
      <c r="L238" s="6">
        <v>0.33119999999999999</v>
      </c>
      <c r="N238">
        <v>1.0999999999999999E-2</v>
      </c>
      <c r="P238" s="2" t="s">
        <v>44</v>
      </c>
    </row>
    <row r="239" spans="1:16">
      <c r="A239" s="1">
        <v>35842</v>
      </c>
      <c r="B239">
        <v>-52.966900000000003</v>
      </c>
      <c r="C239">
        <v>-174.73164</v>
      </c>
      <c r="D239">
        <v>72</v>
      </c>
      <c r="H239" s="12" t="str">
        <f>IFERROR(LOG10(J239/I239),"")</f>
        <v/>
      </c>
      <c r="I239" t="str">
        <f>IF(L239="","",L239/1000/1.022)</f>
        <v/>
      </c>
      <c r="J239" t="str">
        <f>IF(M239="","",M239/1000/1.022)</f>
        <v/>
      </c>
      <c r="K239">
        <f>IF(N239="","",N239/1000/1.022)</f>
        <v>5.5772994129158518E-6</v>
      </c>
      <c r="N239">
        <v>5.7000000000000002E-3</v>
      </c>
      <c r="P239" s="2" t="s">
        <v>44</v>
      </c>
    </row>
    <row r="240" spans="1:16">
      <c r="A240" s="1">
        <v>35842</v>
      </c>
      <c r="B240">
        <v>-52.966900000000003</v>
      </c>
      <c r="C240">
        <v>-174.73164</v>
      </c>
      <c r="D240">
        <v>104</v>
      </c>
      <c r="H240" s="12" t="str">
        <f>IFERROR(LOG10(J240/I240),"")</f>
        <v/>
      </c>
      <c r="I240" t="str">
        <f>IF(L240="","",L240/1000/1.022)</f>
        <v/>
      </c>
      <c r="J240" t="str">
        <f>IF(M240="","",M240/1000/1.022)</f>
        <v/>
      </c>
      <c r="K240">
        <f>IF(N240="","",N240/1000/1.022)</f>
        <v>5.8708414872798432E-7</v>
      </c>
      <c r="N240">
        <v>5.9999999999999995E-4</v>
      </c>
      <c r="P240" s="2" t="s">
        <v>44</v>
      </c>
    </row>
    <row r="241" spans="1:16">
      <c r="A241" s="1">
        <v>35844</v>
      </c>
      <c r="B241">
        <v>-56.849939999999997</v>
      </c>
      <c r="C241">
        <v>-170.16641000000001</v>
      </c>
      <c r="D241">
        <v>8</v>
      </c>
      <c r="H241" s="12" t="str">
        <f>IFERROR(LOG10(J241/I241),"")</f>
        <v/>
      </c>
      <c r="I241" t="str">
        <f>IF(L241="","",L241/1000/1.022)</f>
        <v/>
      </c>
      <c r="J241" t="str">
        <f>IF(M241="","",M241/1000/1.022)</f>
        <v/>
      </c>
      <c r="K241">
        <f>IF(N241="","",N241/1000/1.022)</f>
        <v>3.1702544031311153E-5</v>
      </c>
      <c r="N241">
        <v>3.2399999999999998E-2</v>
      </c>
      <c r="P241" s="2" t="s">
        <v>44</v>
      </c>
    </row>
    <row r="242" spans="1:16">
      <c r="A242" s="1">
        <v>35844</v>
      </c>
      <c r="B242">
        <v>-56.849939999999997</v>
      </c>
      <c r="C242">
        <v>-170.16641000000001</v>
      </c>
      <c r="D242">
        <v>14</v>
      </c>
      <c r="H242" s="12" t="str">
        <f>IFERROR(LOG10(J242/I242),"")</f>
        <v/>
      </c>
      <c r="I242" t="str">
        <f>IF(L242="","",L242/1000/1.022)</f>
        <v/>
      </c>
      <c r="J242" t="str">
        <f>IF(M242="","",M242/1000/1.022)</f>
        <v/>
      </c>
      <c r="K242">
        <f>IF(N242="","",N242/1000/1.022)</f>
        <v>2.8962818003913894E-5</v>
      </c>
      <c r="N242">
        <v>2.9600000000000001E-2</v>
      </c>
      <c r="P242" s="2" t="s">
        <v>44</v>
      </c>
    </row>
    <row r="243" spans="1:16">
      <c r="A243" s="1">
        <v>35844</v>
      </c>
      <c r="B243">
        <v>-56.849939999999997</v>
      </c>
      <c r="C243">
        <v>-170.16641000000001</v>
      </c>
      <c r="D243">
        <v>28</v>
      </c>
      <c r="H243" s="12" t="str">
        <f>IFERROR(LOG10(J243/I243),"")</f>
        <v/>
      </c>
      <c r="I243" t="str">
        <f>IF(L243="","",L243/1000/1.022)</f>
        <v/>
      </c>
      <c r="J243" t="str">
        <f>IF(M243="","",M243/1000/1.022)</f>
        <v/>
      </c>
      <c r="K243">
        <f>IF(N243="","",N243/1000/1.022)</f>
        <v>2.5636007827788649E-5</v>
      </c>
      <c r="N243">
        <v>2.6200000000000001E-2</v>
      </c>
      <c r="P243" s="2" t="s">
        <v>44</v>
      </c>
    </row>
    <row r="244" spans="1:16">
      <c r="A244" s="1">
        <v>35844</v>
      </c>
      <c r="B244">
        <v>-56.849939999999997</v>
      </c>
      <c r="C244">
        <v>-170.16641000000001</v>
      </c>
      <c r="D244">
        <v>33</v>
      </c>
      <c r="H244" s="12" t="str">
        <f>IFERROR(LOG10(J244/I244),"")</f>
        <v/>
      </c>
      <c r="I244">
        <f>IF(L244="","",L244/1000/1.022)</f>
        <v>2.1135029354207434E-4</v>
      </c>
      <c r="J244" t="str">
        <f>IF(M244="","",M244/1000/1.022)</f>
        <v/>
      </c>
      <c r="K244">
        <f>IF(N244="","",N244/1000/1.022)</f>
        <v>2.3483365949119374E-5</v>
      </c>
      <c r="L244" s="6">
        <v>0.216</v>
      </c>
      <c r="N244">
        <v>2.4E-2</v>
      </c>
      <c r="P244" s="2" t="s">
        <v>44</v>
      </c>
    </row>
    <row r="245" spans="1:16">
      <c r="A245" s="1">
        <v>35844</v>
      </c>
      <c r="B245">
        <v>-56.849939999999997</v>
      </c>
      <c r="C245">
        <v>-170.16641000000001</v>
      </c>
      <c r="D245">
        <v>42</v>
      </c>
      <c r="H245" s="12" t="str">
        <f>IFERROR(LOG10(J245/I245),"")</f>
        <v/>
      </c>
      <c r="I245" t="str">
        <f>IF(L245="","",L245/1000/1.022)</f>
        <v/>
      </c>
      <c r="J245" t="str">
        <f>IF(M245="","",M245/1000/1.022)</f>
        <v/>
      </c>
      <c r="K245">
        <f>IF(N245="","",N245/1000/1.022)</f>
        <v>1.1545988258317025E-5</v>
      </c>
      <c r="N245">
        <v>1.18E-2</v>
      </c>
      <c r="P245" s="2" t="s">
        <v>44</v>
      </c>
    </row>
    <row r="246" spans="1:16">
      <c r="A246" s="1">
        <v>35844</v>
      </c>
      <c r="B246">
        <v>-56.849939999999997</v>
      </c>
      <c r="C246">
        <v>-170.16641000000001</v>
      </c>
      <c r="D246">
        <v>53</v>
      </c>
      <c r="H246" s="12" t="str">
        <f>IFERROR(LOG10(J246/I246),"")</f>
        <v/>
      </c>
      <c r="I246">
        <f>IF(L246="","",L246/1000/1.022)</f>
        <v>3.5225048923679059E-6</v>
      </c>
      <c r="J246" t="str">
        <f>IF(M246="","",M246/1000/1.022)</f>
        <v/>
      </c>
      <c r="K246">
        <f>IF(N246="","",N246/1000/1.022)</f>
        <v>1.1545988258317025E-5</v>
      </c>
      <c r="L246" s="6">
        <v>3.5999999999999999E-3</v>
      </c>
      <c r="N246">
        <v>1.18E-2</v>
      </c>
      <c r="P246" s="2" t="s">
        <v>44</v>
      </c>
    </row>
    <row r="247" spans="1:16">
      <c r="A247" s="1">
        <v>35844</v>
      </c>
      <c r="B247">
        <v>-56.849939999999997</v>
      </c>
      <c r="C247">
        <v>-170.16641000000001</v>
      </c>
      <c r="D247">
        <v>86</v>
      </c>
      <c r="H247" s="12" t="str">
        <f>IFERROR(LOG10(J247/I247),"")</f>
        <v/>
      </c>
      <c r="I247">
        <f>IF(L247="","",L247/1000/1.022)</f>
        <v>1.761252446183953E-6</v>
      </c>
      <c r="J247" t="str">
        <f>IF(M247="","",M247/1000/1.022)</f>
        <v/>
      </c>
      <c r="K247">
        <f>IF(N247="","",N247/1000/1.022)</f>
        <v>5.2837573385518591E-6</v>
      </c>
      <c r="L247" s="6">
        <v>1.8E-3</v>
      </c>
      <c r="N247">
        <v>5.4000000000000003E-3</v>
      </c>
      <c r="P247" s="2" t="s">
        <v>44</v>
      </c>
    </row>
    <row r="248" spans="1:16">
      <c r="A248" s="1">
        <v>35844</v>
      </c>
      <c r="B248">
        <v>-56.849939999999997</v>
      </c>
      <c r="C248">
        <v>-170.16641000000001</v>
      </c>
      <c r="D248">
        <v>130</v>
      </c>
      <c r="H248" s="12" t="str">
        <f>IFERROR(LOG10(J248/I248),"")</f>
        <v/>
      </c>
      <c r="I248" t="str">
        <f>IF(L248="","",L248/1000/1.022)</f>
        <v/>
      </c>
      <c r="J248" t="str">
        <f>IF(M248="","",M248/1000/1.022)</f>
        <v/>
      </c>
      <c r="K248">
        <f>IF(N248="","",N248/1000/1.022)</f>
        <v>5.2837573385518591E-6</v>
      </c>
      <c r="N248">
        <v>5.4000000000000003E-3</v>
      </c>
      <c r="P248" s="2" t="s">
        <v>44</v>
      </c>
    </row>
    <row r="249" spans="1:16">
      <c r="A249" s="1">
        <v>35844</v>
      </c>
      <c r="B249">
        <v>-56.849989999999998</v>
      </c>
      <c r="C249">
        <v>-170.16646</v>
      </c>
      <c r="D249">
        <v>4</v>
      </c>
      <c r="H249" s="12" t="str">
        <f>IFERROR(LOG10(J249/I249),"")</f>
        <v/>
      </c>
      <c r="I249" t="str">
        <f>IF(L249="","",L249/1000/1.022)</f>
        <v/>
      </c>
      <c r="J249">
        <f>IF(M249="","",M249/1000/1.022)</f>
        <v>6.9765166340508798E-5</v>
      </c>
      <c r="K249" t="str">
        <f>IF(N249="","",N249/1000/1.022)</f>
        <v/>
      </c>
      <c r="M249" s="7">
        <v>7.1300000000000002E-2</v>
      </c>
      <c r="N249"/>
      <c r="P249" s="2" t="s">
        <v>44</v>
      </c>
    </row>
    <row r="250" spans="1:16">
      <c r="A250" s="1">
        <v>35844</v>
      </c>
      <c r="B250">
        <v>-56.849989999999998</v>
      </c>
      <c r="C250">
        <v>-170.16646</v>
      </c>
      <c r="D250">
        <v>13</v>
      </c>
      <c r="H250" s="12" t="str">
        <f>IFERROR(LOG10(J250/I250),"")</f>
        <v/>
      </c>
      <c r="I250" t="str">
        <f>IF(L250="","",L250/1000/1.022)</f>
        <v/>
      </c>
      <c r="J250">
        <f>IF(M250="","",M250/1000/1.022)</f>
        <v>7.4461839530332681E-5</v>
      </c>
      <c r="K250" t="str">
        <f>IF(N250="","",N250/1000/1.022)</f>
        <v/>
      </c>
      <c r="M250" s="7">
        <v>7.6100000000000001E-2</v>
      </c>
      <c r="N250"/>
      <c r="P250" s="2" t="s">
        <v>44</v>
      </c>
    </row>
    <row r="251" spans="1:16">
      <c r="A251" s="1">
        <v>35844</v>
      </c>
      <c r="B251">
        <v>-56.849989999999998</v>
      </c>
      <c r="C251">
        <v>-170.16646</v>
      </c>
      <c r="D251">
        <v>25</v>
      </c>
      <c r="H251" s="12" t="str">
        <f>IFERROR(LOG10(J251/I251),"")</f>
        <v/>
      </c>
      <c r="I251" t="str">
        <f>IF(L251="","",L251/1000/1.022)</f>
        <v/>
      </c>
      <c r="J251">
        <f>IF(M251="","",M251/1000/1.022)</f>
        <v>5.6947162426614478E-5</v>
      </c>
      <c r="K251" t="str">
        <f>IF(N251="","",N251/1000/1.022)</f>
        <v/>
      </c>
      <c r="M251" s="7">
        <v>5.8200000000000002E-2</v>
      </c>
      <c r="N251"/>
      <c r="P251" s="2" t="s">
        <v>44</v>
      </c>
    </row>
    <row r="252" spans="1:16">
      <c r="A252" s="1">
        <v>35844</v>
      </c>
      <c r="B252">
        <v>-56.849989999999998</v>
      </c>
      <c r="C252">
        <v>-170.16646</v>
      </c>
      <c r="D252">
        <v>55</v>
      </c>
      <c r="H252" s="12" t="str">
        <f>IFERROR(LOG10(J252/I252),"")</f>
        <v/>
      </c>
      <c r="I252" t="str">
        <f>IF(L252="","",L252/1000/1.022)</f>
        <v/>
      </c>
      <c r="J252">
        <f>IF(M252="","",M252/1000/1.022)</f>
        <v>4.1780821917808217E-5</v>
      </c>
      <c r="K252" t="str">
        <f>IF(N252="","",N252/1000/1.022)</f>
        <v/>
      </c>
      <c r="M252" s="7">
        <v>4.2700000000000002E-2</v>
      </c>
      <c r="N252"/>
      <c r="P252" s="2" t="s">
        <v>44</v>
      </c>
    </row>
    <row r="253" spans="1:16">
      <c r="A253" s="1">
        <v>35846</v>
      </c>
      <c r="B253">
        <v>-58.5</v>
      </c>
      <c r="C253">
        <v>-169.99977000000001</v>
      </c>
      <c r="D253">
        <v>4</v>
      </c>
      <c r="H253" s="12" t="str">
        <f>IFERROR(LOG10(J253/I253),"")</f>
        <v/>
      </c>
      <c r="I253" t="str">
        <f>IF(L253="","",L253/1000/1.022)</f>
        <v/>
      </c>
      <c r="J253">
        <f>IF(M253="","",M253/1000/1.022)</f>
        <v>5.4892367906066529E-5</v>
      </c>
      <c r="K253" t="str">
        <f>IF(N253="","",N253/1000/1.022)</f>
        <v/>
      </c>
      <c r="M253" s="7">
        <v>5.6099999999999997E-2</v>
      </c>
      <c r="N253"/>
      <c r="P253" s="2" t="s">
        <v>44</v>
      </c>
    </row>
    <row r="254" spans="1:16">
      <c r="A254" s="1">
        <v>35846</v>
      </c>
      <c r="B254">
        <v>-58.5</v>
      </c>
      <c r="C254">
        <v>-169.99977000000001</v>
      </c>
      <c r="D254">
        <v>16</v>
      </c>
      <c r="H254" s="12">
        <f>IFERROR(LOG10(J254/I254),"")</f>
        <v>-0.52866171330887524</v>
      </c>
      <c r="I254">
        <f>IF(L254="","",L254/1000/1.022)</f>
        <v>1.2328767123287671E-4</v>
      </c>
      <c r="J254">
        <f>IF(M254="","",M254/1000/1.022)</f>
        <v>3.6497064579256357E-5</v>
      </c>
      <c r="K254" t="str">
        <f>IF(N254="","",N254/1000/1.022)</f>
        <v/>
      </c>
      <c r="L254" s="6">
        <v>0.126</v>
      </c>
      <c r="M254" s="7">
        <v>3.73E-2</v>
      </c>
      <c r="N254"/>
      <c r="P254" s="2" t="s">
        <v>44</v>
      </c>
    </row>
    <row r="255" spans="1:16">
      <c r="A255" s="1">
        <v>35846</v>
      </c>
      <c r="B255">
        <v>-58.5</v>
      </c>
      <c r="C255">
        <v>-169.99977000000001</v>
      </c>
      <c r="D255">
        <v>34</v>
      </c>
      <c r="H255" s="12" t="str">
        <f>IFERROR(LOG10(J255/I255),"")</f>
        <v/>
      </c>
      <c r="I255" t="str">
        <f>IF(L255="","",L255/1000/1.022)</f>
        <v/>
      </c>
      <c r="J255">
        <f>IF(M255="","",M255/1000/1.022)</f>
        <v>6.0958904109589036E-5</v>
      </c>
      <c r="K255" t="str">
        <f>IF(N255="","",N255/1000/1.022)</f>
        <v/>
      </c>
      <c r="M255" s="7">
        <v>6.2300000000000001E-2</v>
      </c>
      <c r="N255"/>
      <c r="P255" s="2" t="s">
        <v>44</v>
      </c>
    </row>
    <row r="256" spans="1:16">
      <c r="A256" s="1">
        <v>35846</v>
      </c>
      <c r="B256">
        <v>-58.5</v>
      </c>
      <c r="C256">
        <v>-169.99977000000001</v>
      </c>
      <c r="D256">
        <v>42</v>
      </c>
      <c r="H256" s="12">
        <f>IFERROR(LOG10(J256/I256),"")</f>
        <v>-0.40565836392408544</v>
      </c>
      <c r="I256">
        <f>IF(L256="","",L256/1000/1.022)</f>
        <v>7.2211350293542074E-5</v>
      </c>
      <c r="J256">
        <f>IF(M256="","",M256/1000/1.022)</f>
        <v>2.8375733855185911E-5</v>
      </c>
      <c r="K256" t="str">
        <f>IF(N256="","",N256/1000/1.022)</f>
        <v/>
      </c>
      <c r="L256" s="6">
        <v>7.3800000000000004E-2</v>
      </c>
      <c r="M256" s="7">
        <v>2.9000000000000001E-2</v>
      </c>
      <c r="N256"/>
      <c r="P256" s="2" t="s">
        <v>44</v>
      </c>
    </row>
    <row r="257" spans="1:16">
      <c r="A257" s="1">
        <v>35846</v>
      </c>
      <c r="B257">
        <v>-58.5</v>
      </c>
      <c r="C257">
        <v>-169.99977000000001</v>
      </c>
      <c r="D257">
        <v>54</v>
      </c>
      <c r="H257" s="12" t="str">
        <f>IFERROR(LOG10(J257/I257),"")</f>
        <v/>
      </c>
      <c r="I257" t="str">
        <f>IF(L257="","",L257/1000/1.022)</f>
        <v/>
      </c>
      <c r="J257">
        <f>IF(M257="","",M257/1000/1.022)</f>
        <v>2.0743639921722113E-5</v>
      </c>
      <c r="K257" t="str">
        <f>IF(N257="","",N257/1000/1.022)</f>
        <v/>
      </c>
      <c r="M257" s="7">
        <v>2.12E-2</v>
      </c>
      <c r="N257"/>
      <c r="P257" s="2" t="s">
        <v>44</v>
      </c>
    </row>
    <row r="258" spans="1:16">
      <c r="A258" s="1">
        <v>35846</v>
      </c>
      <c r="B258">
        <v>-58.5</v>
      </c>
      <c r="C258">
        <v>-169.99977000000001</v>
      </c>
      <c r="D258">
        <v>68</v>
      </c>
      <c r="H258" s="12">
        <f>IFERROR(LOG10(J258/I258),"")</f>
        <v>-0.5801054154399119</v>
      </c>
      <c r="I258">
        <f>IF(L258="","",L258/1000/1.022)</f>
        <v>5.2837573385518586E-5</v>
      </c>
      <c r="J258">
        <f>IF(M258="","",M258/1000/1.022)</f>
        <v>1.3894324853228964E-5</v>
      </c>
      <c r="K258" t="str">
        <f>IF(N258="","",N258/1000/1.022)</f>
        <v/>
      </c>
      <c r="L258" s="6">
        <v>5.3999999999999999E-2</v>
      </c>
      <c r="M258" s="7">
        <v>1.4200000000000001E-2</v>
      </c>
      <c r="N258"/>
      <c r="P258" s="2" t="s">
        <v>44</v>
      </c>
    </row>
    <row r="259" spans="1:16">
      <c r="A259" s="1">
        <v>35846</v>
      </c>
      <c r="B259">
        <v>-58.5</v>
      </c>
      <c r="C259">
        <v>-169.99977000000001</v>
      </c>
      <c r="D259">
        <v>110</v>
      </c>
      <c r="H259" s="12">
        <f>IFERROR(LOG10(J259/I259),"")</f>
        <v>-0.95693164795010621</v>
      </c>
      <c r="I259">
        <f>IF(L259="","",L259/1000/1.022)</f>
        <v>1.4266144814090021E-4</v>
      </c>
      <c r="J259">
        <f>IF(M259="","",M259/1000/1.022)</f>
        <v>1.5753424657534245E-5</v>
      </c>
      <c r="K259" t="str">
        <f>IF(N259="","",N259/1000/1.022)</f>
        <v/>
      </c>
      <c r="L259" s="6">
        <v>0.14580000000000001</v>
      </c>
      <c r="M259" s="7">
        <v>1.61E-2</v>
      </c>
      <c r="N259"/>
      <c r="P259" s="2" t="s">
        <v>44</v>
      </c>
    </row>
    <row r="260" spans="1:16">
      <c r="A260" s="1">
        <v>35846</v>
      </c>
      <c r="B260">
        <v>-58.5</v>
      </c>
      <c r="C260">
        <v>-169.99977000000001</v>
      </c>
      <c r="D260">
        <v>167</v>
      </c>
      <c r="H260" s="12" t="str">
        <f>IFERROR(LOG10(J260/I260),"")</f>
        <v/>
      </c>
      <c r="I260" t="str">
        <f>IF(L260="","",L260/1000/1.022)</f>
        <v/>
      </c>
      <c r="J260">
        <f>IF(M260="","",M260/1000/1.022)</f>
        <v>4.3052837573385518E-6</v>
      </c>
      <c r="K260" t="str">
        <f>IF(N260="","",N260/1000/1.022)</f>
        <v/>
      </c>
      <c r="M260" s="7">
        <v>4.4000000000000003E-3</v>
      </c>
      <c r="N260"/>
      <c r="P260" s="2" t="s">
        <v>44</v>
      </c>
    </row>
    <row r="261" spans="1:16">
      <c r="A261" s="1">
        <v>35847</v>
      </c>
      <c r="B261">
        <v>-60.233319999999999</v>
      </c>
      <c r="C261">
        <v>-170.06671</v>
      </c>
      <c r="D261">
        <v>5</v>
      </c>
      <c r="H261" s="12" t="str">
        <f>IFERROR(LOG10(J261/I261),"")</f>
        <v/>
      </c>
      <c r="I261" t="str">
        <f>IF(L261="","",L261/1000/1.022)</f>
        <v/>
      </c>
      <c r="J261" t="str">
        <f>IF(M261="","",M261/1000/1.022)</f>
        <v/>
      </c>
      <c r="K261">
        <f>IF(N261="","",N261/1000/1.022)</f>
        <v>1.3111545988258316E-5</v>
      </c>
      <c r="N261">
        <v>1.34E-2</v>
      </c>
      <c r="P261" s="2" t="s">
        <v>44</v>
      </c>
    </row>
    <row r="262" spans="1:16">
      <c r="A262" s="1">
        <v>35847</v>
      </c>
      <c r="B262">
        <v>-60.233319999999999</v>
      </c>
      <c r="C262">
        <v>-170.06671</v>
      </c>
      <c r="D262">
        <v>15</v>
      </c>
      <c r="H262" s="12" t="str">
        <f>IFERROR(LOG10(J262/I262),"")</f>
        <v/>
      </c>
      <c r="I262">
        <f>IF(L262="","",L262/1000/1.022)</f>
        <v>8.2778864970645794E-5</v>
      </c>
      <c r="J262" t="str">
        <f>IF(M262="","",M262/1000/1.022)</f>
        <v/>
      </c>
      <c r="K262">
        <f>IF(N262="","",N262/1000/1.022)</f>
        <v>1.2035225048923679E-5</v>
      </c>
      <c r="L262" s="6">
        <v>8.4599999999999995E-2</v>
      </c>
      <c r="N262">
        <v>1.23E-2</v>
      </c>
      <c r="P262" s="2" t="s">
        <v>44</v>
      </c>
    </row>
    <row r="263" spans="1:16">
      <c r="A263" s="1">
        <v>35847</v>
      </c>
      <c r="B263">
        <v>-60.233319999999999</v>
      </c>
      <c r="C263">
        <v>-170.06671</v>
      </c>
      <c r="D263">
        <v>30</v>
      </c>
      <c r="H263" s="12" t="str">
        <f>IFERROR(LOG10(J263/I263),"")</f>
        <v/>
      </c>
      <c r="I263" t="str">
        <f>IF(L263="","",L263/1000/1.022)</f>
        <v/>
      </c>
      <c r="J263" t="str">
        <f>IF(M263="","",M263/1000/1.022)</f>
        <v/>
      </c>
      <c r="K263">
        <f>IF(N263="","",N263/1000/1.022)</f>
        <v>8.9041095890410972E-6</v>
      </c>
      <c r="N263">
        <v>9.1000000000000004E-3</v>
      </c>
      <c r="P263" s="2" t="s">
        <v>44</v>
      </c>
    </row>
    <row r="264" spans="1:16">
      <c r="A264" s="1">
        <v>35847</v>
      </c>
      <c r="B264">
        <v>-60.233319999999999</v>
      </c>
      <c r="C264">
        <v>-170.06671</v>
      </c>
      <c r="D264">
        <v>36</v>
      </c>
      <c r="H264" s="12" t="str">
        <f>IFERROR(LOG10(J264/I264),"")</f>
        <v/>
      </c>
      <c r="I264">
        <f>IF(L264="","",L264/1000/1.022)</f>
        <v>1.6027397260273972E-4</v>
      </c>
      <c r="J264" t="str">
        <f>IF(M264="","",M264/1000/1.022)</f>
        <v/>
      </c>
      <c r="K264">
        <f>IF(N264="","",N264/1000/1.022)</f>
        <v>8.5127201565557719E-6</v>
      </c>
      <c r="L264" s="6">
        <v>0.1638</v>
      </c>
      <c r="N264">
        <v>8.6999999999999994E-3</v>
      </c>
      <c r="P264" s="2" t="s">
        <v>44</v>
      </c>
    </row>
    <row r="265" spans="1:16">
      <c r="A265" s="1">
        <v>35847</v>
      </c>
      <c r="B265">
        <v>-60.233319999999999</v>
      </c>
      <c r="C265">
        <v>-170.06671</v>
      </c>
      <c r="D265">
        <v>50</v>
      </c>
      <c r="H265" s="12" t="str">
        <f>IFERROR(LOG10(J265/I265),"")</f>
        <v/>
      </c>
      <c r="I265" t="str">
        <f>IF(L265="","",L265/1000/1.022)</f>
        <v/>
      </c>
      <c r="J265" t="str">
        <f>IF(M265="","",M265/1000/1.022)</f>
        <v/>
      </c>
      <c r="K265">
        <f>IF(N265="","",N265/1000/1.022)</f>
        <v>5.8708414872798436E-6</v>
      </c>
      <c r="N265">
        <v>6.0000000000000001E-3</v>
      </c>
      <c r="P265" s="2" t="s">
        <v>44</v>
      </c>
    </row>
    <row r="266" spans="1:16">
      <c r="A266" s="1">
        <v>35847</v>
      </c>
      <c r="B266">
        <v>-60.233319999999999</v>
      </c>
      <c r="C266">
        <v>-170.06671</v>
      </c>
      <c r="D266">
        <v>64</v>
      </c>
      <c r="H266" s="12" t="str">
        <f>IFERROR(LOG10(J266/I266),"")</f>
        <v/>
      </c>
      <c r="I266">
        <f>IF(L266="","",L266/1000/1.022)</f>
        <v>2.9941291585127198E-5</v>
      </c>
      <c r="J266" t="str">
        <f>IF(M266="","",M266/1000/1.022)</f>
        <v/>
      </c>
      <c r="K266">
        <f>IF(N266="","",N266/1000/1.022)</f>
        <v>6.2622309197651663E-6</v>
      </c>
      <c r="L266" s="6">
        <v>3.0599999999999999E-2</v>
      </c>
      <c r="N266">
        <v>6.4000000000000003E-3</v>
      </c>
      <c r="P266" s="2" t="s">
        <v>44</v>
      </c>
    </row>
    <row r="267" spans="1:16">
      <c r="A267" s="1">
        <v>35847</v>
      </c>
      <c r="B267">
        <v>-60.233319999999999</v>
      </c>
      <c r="C267">
        <v>-170.06671</v>
      </c>
      <c r="D267">
        <v>101</v>
      </c>
      <c r="H267" s="12" t="str">
        <f>IFERROR(LOG10(J267/I267),"")</f>
        <v/>
      </c>
      <c r="I267">
        <f>IF(L267="","",L267/1000/1.022)</f>
        <v>2.6418786692759293E-5</v>
      </c>
      <c r="J267" t="str">
        <f>IF(M267="","",M267/1000/1.022)</f>
        <v/>
      </c>
      <c r="K267">
        <f>IF(N267="","",N267/1000/1.022)</f>
        <v>8.8062622309197637E-6</v>
      </c>
      <c r="L267" s="6">
        <v>2.7E-2</v>
      </c>
      <c r="N267">
        <v>8.9999999999999993E-3</v>
      </c>
      <c r="P267" s="2" t="s">
        <v>44</v>
      </c>
    </row>
    <row r="268" spans="1:16">
      <c r="A268" s="1">
        <v>35847</v>
      </c>
      <c r="B268">
        <v>-60.233319999999999</v>
      </c>
      <c r="C268">
        <v>-170.06671</v>
      </c>
      <c r="D268">
        <v>154</v>
      </c>
      <c r="H268" s="12" t="str">
        <f>IFERROR(LOG10(J268/I268),"")</f>
        <v/>
      </c>
      <c r="I268" t="str">
        <f>IF(L268="","",L268/1000/1.022)</f>
        <v/>
      </c>
      <c r="J268" t="str">
        <f>IF(M268="","",M268/1000/1.022)</f>
        <v/>
      </c>
      <c r="K268">
        <f>IF(N268="","",N268/1000/1.022)</f>
        <v>1.2426614481409001E-5</v>
      </c>
      <c r="N268">
        <v>1.2699999999999999E-2</v>
      </c>
      <c r="P268" s="2" t="s">
        <v>44</v>
      </c>
    </row>
    <row r="269" spans="1:16">
      <c r="A269" s="1">
        <v>35847</v>
      </c>
      <c r="B269">
        <v>-60.233359999999998</v>
      </c>
      <c r="C269">
        <v>-170.0667</v>
      </c>
      <c r="D269">
        <v>7</v>
      </c>
      <c r="H269" s="12" t="str">
        <f>IFERROR(LOG10(J269/I269),"")</f>
        <v/>
      </c>
      <c r="I269" t="str">
        <f>IF(L269="","",L269/1000/1.022)</f>
        <v/>
      </c>
      <c r="J269">
        <f>IF(M269="","",M269/1000/1.022)</f>
        <v>2.397260273972603E-5</v>
      </c>
      <c r="K269" t="str">
        <f>IF(N269="","",N269/1000/1.022)</f>
        <v/>
      </c>
      <c r="M269" s="7">
        <v>2.4500000000000001E-2</v>
      </c>
      <c r="N269"/>
      <c r="P269" s="2" t="s">
        <v>44</v>
      </c>
    </row>
    <row r="270" spans="1:16">
      <c r="A270" s="1">
        <v>35847</v>
      </c>
      <c r="B270">
        <v>-60.233359999999998</v>
      </c>
      <c r="C270">
        <v>-170.0667</v>
      </c>
      <c r="D270">
        <v>28</v>
      </c>
      <c r="H270" s="12" t="str">
        <f>IFERROR(LOG10(J270/I270),"")</f>
        <v/>
      </c>
      <c r="I270" t="str">
        <f>IF(L270="","",L270/1000/1.022)</f>
        <v/>
      </c>
      <c r="J270">
        <f>IF(M270="","",M270/1000/1.022)</f>
        <v>2.2798434442270059E-5</v>
      </c>
      <c r="K270" t="str">
        <f>IF(N270="","",N270/1000/1.022)</f>
        <v/>
      </c>
      <c r="M270" s="7">
        <v>2.3300000000000001E-2</v>
      </c>
      <c r="N270"/>
      <c r="P270" s="2" t="s">
        <v>44</v>
      </c>
    </row>
    <row r="271" spans="1:16">
      <c r="A271" s="1">
        <v>35847</v>
      </c>
      <c r="B271">
        <v>-60.233359999999998</v>
      </c>
      <c r="C271">
        <v>-170.0667</v>
      </c>
      <c r="D271">
        <v>36</v>
      </c>
      <c r="H271" s="12" t="str">
        <f>IFERROR(LOG10(J271/I271),"")</f>
        <v/>
      </c>
      <c r="I271" t="str">
        <f>IF(L271="","",L271/1000/1.022)</f>
        <v/>
      </c>
      <c r="J271">
        <f>IF(M271="","",M271/1000/1.022)</f>
        <v>4.6086105675146767E-5</v>
      </c>
      <c r="K271" t="str">
        <f>IF(N271="","",N271/1000/1.022)</f>
        <v/>
      </c>
      <c r="M271" s="7">
        <v>4.7100000000000003E-2</v>
      </c>
      <c r="N271"/>
      <c r="P271" s="2" t="s">
        <v>44</v>
      </c>
    </row>
    <row r="272" spans="1:16">
      <c r="A272" s="1">
        <v>35847</v>
      </c>
      <c r="B272">
        <v>-60.233359999999998</v>
      </c>
      <c r="C272">
        <v>-170.0667</v>
      </c>
      <c r="D272">
        <v>64</v>
      </c>
      <c r="H272" s="12" t="str">
        <f>IFERROR(LOG10(J272/I272),"")</f>
        <v/>
      </c>
      <c r="I272" t="str">
        <f>IF(L272="","",L272/1000/1.022)</f>
        <v/>
      </c>
      <c r="J272">
        <f>IF(M272="","",M272/1000/1.022)</f>
        <v>1.4774951076320941E-5</v>
      </c>
      <c r="K272" t="str">
        <f>IF(N272="","",N272/1000/1.022)</f>
        <v/>
      </c>
      <c r="M272" s="7">
        <v>1.5100000000000001E-2</v>
      </c>
      <c r="N272"/>
      <c r="P272" s="2" t="s">
        <v>44</v>
      </c>
    </row>
    <row r="273" spans="1:16">
      <c r="A273" s="1">
        <v>35850</v>
      </c>
      <c r="B273">
        <v>-63.083410000000001</v>
      </c>
      <c r="C273">
        <v>-169.88329999999999</v>
      </c>
      <c r="D273">
        <v>12</v>
      </c>
      <c r="H273" s="12" t="str">
        <f>IFERROR(LOG10(J273/I273),"")</f>
        <v/>
      </c>
      <c r="I273">
        <f>IF(L273="","",L273/1000/1.022)</f>
        <v>1.0215264187866928E-4</v>
      </c>
      <c r="J273" t="str">
        <f>IF(M273="","",M273/1000/1.022)</f>
        <v/>
      </c>
      <c r="K273" t="str">
        <f>IF(N273="","",N273/1000/1.022)</f>
        <v/>
      </c>
      <c r="L273" s="6">
        <v>0.10440000000000001</v>
      </c>
      <c r="N273"/>
      <c r="P273" s="2" t="s">
        <v>44</v>
      </c>
    </row>
    <row r="274" spans="1:16">
      <c r="A274" s="1">
        <v>35850</v>
      </c>
      <c r="B274">
        <v>-63.083410000000001</v>
      </c>
      <c r="C274">
        <v>-169.88329999999999</v>
      </c>
      <c r="D274">
        <v>31</v>
      </c>
      <c r="H274" s="12" t="str">
        <f>IFERROR(LOG10(J274/I274),"")</f>
        <v/>
      </c>
      <c r="I274">
        <f>IF(L274="","",L274/1000/1.022)</f>
        <v>8.4540117416829745E-5</v>
      </c>
      <c r="J274" t="str">
        <f>IF(M274="","",M274/1000/1.022)</f>
        <v/>
      </c>
      <c r="K274" t="str">
        <f>IF(N274="","",N274/1000/1.022)</f>
        <v/>
      </c>
      <c r="L274" s="6">
        <v>8.6400000000000005E-2</v>
      </c>
      <c r="N274"/>
      <c r="P274" s="2" t="s">
        <v>44</v>
      </c>
    </row>
    <row r="275" spans="1:16">
      <c r="A275" s="1">
        <v>35850</v>
      </c>
      <c r="B275">
        <v>-63.083410000000001</v>
      </c>
      <c r="C275">
        <v>-169.88329999999999</v>
      </c>
      <c r="D275">
        <v>53</v>
      </c>
      <c r="H275" s="12" t="str">
        <f>IFERROR(LOG10(J275/I275),"")</f>
        <v/>
      </c>
      <c r="I275">
        <f>IF(L275="","",L275/1000/1.022)</f>
        <v>1.3385518590998044E-4</v>
      </c>
      <c r="J275" t="str">
        <f>IF(M275="","",M275/1000/1.022)</f>
        <v/>
      </c>
      <c r="K275" t="str">
        <f>IF(N275="","",N275/1000/1.022)</f>
        <v/>
      </c>
      <c r="L275" s="6">
        <v>0.1368</v>
      </c>
      <c r="N275"/>
      <c r="P275" s="2" t="s">
        <v>44</v>
      </c>
    </row>
    <row r="276" spans="1:16">
      <c r="A276" s="1">
        <v>35852</v>
      </c>
      <c r="B276">
        <v>-64.700040000000001</v>
      </c>
      <c r="C276">
        <v>-169.33311</v>
      </c>
      <c r="D276">
        <v>4</v>
      </c>
      <c r="H276" s="12" t="str">
        <f>IFERROR(LOG10(J276/I276),"")</f>
        <v/>
      </c>
      <c r="I276" t="str">
        <f>IF(L276="","",L276/1000/1.022)</f>
        <v/>
      </c>
      <c r="J276" t="str">
        <f>IF(M276="","",M276/1000/1.022)</f>
        <v/>
      </c>
      <c r="K276">
        <f>IF(N276="","",N276/1000/1.022)</f>
        <v>1.643835616438356E-5</v>
      </c>
      <c r="N276">
        <v>1.6799999999999999E-2</v>
      </c>
      <c r="P276" s="2" t="s">
        <v>44</v>
      </c>
    </row>
    <row r="277" spans="1:16">
      <c r="A277" s="1">
        <v>35852</v>
      </c>
      <c r="B277">
        <v>-64.700040000000001</v>
      </c>
      <c r="C277">
        <v>-169.33311</v>
      </c>
      <c r="D277">
        <v>10</v>
      </c>
      <c r="H277" s="12" t="str">
        <f>IFERROR(LOG10(J277/I277),"")</f>
        <v/>
      </c>
      <c r="I277" t="str">
        <f>IF(L277="","",L277/1000/1.022)</f>
        <v/>
      </c>
      <c r="J277" t="str">
        <f>IF(M277="","",M277/1000/1.022)</f>
        <v/>
      </c>
      <c r="K277">
        <f>IF(N277="","",N277/1000/1.022)</f>
        <v>1.5166340508806263E-5</v>
      </c>
      <c r="N277">
        <v>1.55E-2</v>
      </c>
      <c r="P277" s="2" t="s">
        <v>44</v>
      </c>
    </row>
    <row r="278" spans="1:16">
      <c r="A278" s="1">
        <v>35852</v>
      </c>
      <c r="B278">
        <v>-64.700040000000001</v>
      </c>
      <c r="C278">
        <v>-169.33311</v>
      </c>
      <c r="D278">
        <v>21</v>
      </c>
      <c r="H278" s="12" t="str">
        <f>IFERROR(LOG10(J278/I278),"")</f>
        <v/>
      </c>
      <c r="I278" t="str">
        <f>IF(L278="","",L278/1000/1.022)</f>
        <v/>
      </c>
      <c r="J278" t="str">
        <f>IF(M278="","",M278/1000/1.022)</f>
        <v/>
      </c>
      <c r="K278">
        <f>IF(N278="","",N278/1000/1.022)</f>
        <v>1.7123287671232879E-5</v>
      </c>
      <c r="N278">
        <v>1.7500000000000002E-2</v>
      </c>
      <c r="P278" s="2" t="s">
        <v>44</v>
      </c>
    </row>
    <row r="279" spans="1:16">
      <c r="A279" s="1">
        <v>35852</v>
      </c>
      <c r="B279">
        <v>-64.700040000000001</v>
      </c>
      <c r="C279">
        <v>-169.33311</v>
      </c>
      <c r="D279">
        <v>26</v>
      </c>
      <c r="H279" s="12" t="str">
        <f>IFERROR(LOG10(J279/I279),"")</f>
        <v/>
      </c>
      <c r="I279" t="str">
        <f>IF(L279="","",L279/1000/1.022)</f>
        <v/>
      </c>
      <c r="J279" t="str">
        <f>IF(M279="","",M279/1000/1.022)</f>
        <v/>
      </c>
      <c r="K279">
        <f>IF(N279="","",N279/1000/1.022)</f>
        <v>1.7612524461839527E-5</v>
      </c>
      <c r="N279">
        <v>1.7999999999999999E-2</v>
      </c>
      <c r="P279" s="2" t="s">
        <v>44</v>
      </c>
    </row>
    <row r="280" spans="1:16">
      <c r="A280" s="1">
        <v>35852</v>
      </c>
      <c r="B280">
        <v>-64.700040000000001</v>
      </c>
      <c r="C280">
        <v>-169.33311</v>
      </c>
      <c r="D280">
        <v>36</v>
      </c>
      <c r="H280" s="12" t="str">
        <f>IFERROR(LOG10(J280/I280),"")</f>
        <v/>
      </c>
      <c r="I280" t="str">
        <f>IF(L280="","",L280/1000/1.022)</f>
        <v/>
      </c>
      <c r="J280" t="str">
        <f>IF(M280="","",M280/1000/1.022)</f>
        <v/>
      </c>
      <c r="K280">
        <f>IF(N280="","",N280/1000/1.022)</f>
        <v>1.1350293542074364E-5</v>
      </c>
      <c r="N280">
        <v>1.1599999999999999E-2</v>
      </c>
      <c r="P280" s="2" t="s">
        <v>44</v>
      </c>
    </row>
    <row r="281" spans="1:16">
      <c r="A281" s="1">
        <v>35852</v>
      </c>
      <c r="B281">
        <v>-64.700040000000001</v>
      </c>
      <c r="C281">
        <v>-169.33311</v>
      </c>
      <c r="D281">
        <v>45</v>
      </c>
      <c r="H281" s="12" t="str">
        <f>IFERROR(LOG10(J281/I281),"")</f>
        <v/>
      </c>
      <c r="I281" t="str">
        <f>IF(L281="","",L281/1000/1.022)</f>
        <v/>
      </c>
      <c r="J281" t="str">
        <f>IF(M281="","",M281/1000/1.022)</f>
        <v/>
      </c>
      <c r="K281">
        <f>IF(N281="","",N281/1000/1.022)</f>
        <v>1.7416829745596867E-5</v>
      </c>
      <c r="N281">
        <v>1.78E-2</v>
      </c>
      <c r="P281" s="2" t="s">
        <v>44</v>
      </c>
    </row>
    <row r="282" spans="1:16">
      <c r="A282" s="1">
        <v>35852</v>
      </c>
      <c r="B282">
        <v>-64.700040000000001</v>
      </c>
      <c r="C282">
        <v>-169.33311</v>
      </c>
      <c r="D282">
        <v>70</v>
      </c>
      <c r="H282" s="12" t="str">
        <f>IFERROR(LOG10(J282/I282),"")</f>
        <v/>
      </c>
      <c r="I282" t="str">
        <f>IF(L282="","",L282/1000/1.022)</f>
        <v/>
      </c>
      <c r="J282" t="str">
        <f>IF(M282="","",M282/1000/1.022)</f>
        <v/>
      </c>
      <c r="K282">
        <f>IF(N282="","",N282/1000/1.022)</f>
        <v>1.0273972602739726E-5</v>
      </c>
      <c r="N282">
        <v>1.0500000000000001E-2</v>
      </c>
      <c r="P282" s="2" t="s">
        <v>44</v>
      </c>
    </row>
    <row r="283" spans="1:16">
      <c r="A283" s="1">
        <v>35852</v>
      </c>
      <c r="B283">
        <v>-64.700040000000001</v>
      </c>
      <c r="C283">
        <v>-169.33311</v>
      </c>
      <c r="D283">
        <v>106</v>
      </c>
      <c r="H283" s="12" t="str">
        <f>IFERROR(LOG10(J283/I283),"")</f>
        <v/>
      </c>
      <c r="I283" t="str">
        <f>IF(L283="","",L283/1000/1.022)</f>
        <v/>
      </c>
      <c r="J283" t="str">
        <f>IF(M283="","",M283/1000/1.022)</f>
        <v/>
      </c>
      <c r="K283">
        <f>IF(N283="","",N283/1000/1.022)</f>
        <v>1.2035225048923679E-5</v>
      </c>
      <c r="N283">
        <v>1.23E-2</v>
      </c>
      <c r="P283" s="2" t="s">
        <v>44</v>
      </c>
    </row>
    <row r="284" spans="1:16">
      <c r="A284" s="1">
        <v>35853</v>
      </c>
      <c r="B284">
        <v>-66.099980000000002</v>
      </c>
      <c r="C284">
        <v>-168.67171999999999</v>
      </c>
      <c r="D284">
        <v>10</v>
      </c>
      <c r="H284" s="12" t="str">
        <f>IFERROR(LOG10(J284/I284),"")</f>
        <v/>
      </c>
      <c r="I284">
        <f>IF(L284="","",L284/1000/1.022)</f>
        <v>3.8571428571428567E-4</v>
      </c>
      <c r="J284" t="str">
        <f>IF(M284="","",M284/1000/1.022)</f>
        <v/>
      </c>
      <c r="K284" t="str">
        <f>IF(N284="","",N284/1000/1.022)</f>
        <v/>
      </c>
      <c r="L284" s="6">
        <v>0.39419999999999999</v>
      </c>
      <c r="N284"/>
      <c r="P284" s="2" t="s">
        <v>44</v>
      </c>
    </row>
    <row r="285" spans="1:16">
      <c r="A285" s="1">
        <v>35853</v>
      </c>
      <c r="B285">
        <v>-66.099980000000002</v>
      </c>
      <c r="C285">
        <v>-168.67171999999999</v>
      </c>
      <c r="D285">
        <v>25</v>
      </c>
      <c r="H285" s="12" t="str">
        <f>IFERROR(LOG10(J285/I285),"")</f>
        <v/>
      </c>
      <c r="I285">
        <f>IF(L285="","",L285/1000/1.022)</f>
        <v>9.5812133072407035E-4</v>
      </c>
      <c r="J285" t="str">
        <f>IF(M285="","",M285/1000/1.022)</f>
        <v/>
      </c>
      <c r="K285" t="str">
        <f>IF(N285="","",N285/1000/1.022)</f>
        <v/>
      </c>
      <c r="L285" s="6">
        <v>0.97919999999999996</v>
      </c>
      <c r="N285"/>
      <c r="P285" s="2" t="s">
        <v>44</v>
      </c>
    </row>
    <row r="286" spans="1:16">
      <c r="A286" s="1">
        <v>35853</v>
      </c>
      <c r="B286">
        <v>-66.099980000000002</v>
      </c>
      <c r="C286">
        <v>-168.67171999999999</v>
      </c>
      <c r="D286">
        <v>44</v>
      </c>
      <c r="H286" s="12" t="str">
        <f>IFERROR(LOG10(J286/I286),"")</f>
        <v/>
      </c>
      <c r="I286">
        <f>IF(L286="","",L286/1000/1.022)</f>
        <v>1.3209393346379648E-4</v>
      </c>
      <c r="J286" t="str">
        <f>IF(M286="","",M286/1000/1.022)</f>
        <v/>
      </c>
      <c r="K286" t="str">
        <f>IF(N286="","",N286/1000/1.022)</f>
        <v/>
      </c>
      <c r="L286" s="6">
        <v>0.13500000000000001</v>
      </c>
      <c r="N286"/>
      <c r="P286" s="2" t="s">
        <v>44</v>
      </c>
    </row>
    <row r="287" spans="1:16">
      <c r="A287" s="1">
        <v>35853</v>
      </c>
      <c r="B287">
        <v>-66.099980000000002</v>
      </c>
      <c r="C287">
        <v>-168.67171999999999</v>
      </c>
      <c r="D287">
        <v>68</v>
      </c>
      <c r="H287" s="12" t="str">
        <f>IFERROR(LOG10(J287/I287),"")</f>
        <v/>
      </c>
      <c r="I287">
        <f>IF(L287="","",L287/1000/1.022)</f>
        <v>1.6908023483365949E-4</v>
      </c>
      <c r="J287" t="str">
        <f>IF(M287="","",M287/1000/1.022)</f>
        <v/>
      </c>
      <c r="K287" t="str">
        <f>IF(N287="","",N287/1000/1.022)</f>
        <v/>
      </c>
      <c r="L287" s="6">
        <v>0.17280000000000001</v>
      </c>
      <c r="N287"/>
      <c r="P287" s="2" t="s">
        <v>44</v>
      </c>
    </row>
    <row r="288" spans="1:16">
      <c r="A288" s="1">
        <v>35855</v>
      </c>
      <c r="B288">
        <v>-69.296149999999997</v>
      </c>
      <c r="C288">
        <v>-168.36736999999999</v>
      </c>
      <c r="D288">
        <v>4</v>
      </c>
      <c r="H288" s="12" t="str">
        <f>IFERROR(LOG10(J288/I288),"")</f>
        <v/>
      </c>
      <c r="I288" t="str">
        <f>IF(L288="","",L288/1000/1.022)</f>
        <v/>
      </c>
      <c r="J288" t="str">
        <f>IF(M288="","",M288/1000/1.022)</f>
        <v/>
      </c>
      <c r="K288">
        <f>IF(N288="","",N288/1000/1.022)</f>
        <v>1.1545988258317025E-5</v>
      </c>
      <c r="N288">
        <v>1.18E-2</v>
      </c>
      <c r="P288" s="2" t="s">
        <v>44</v>
      </c>
    </row>
    <row r="289" spans="1:16">
      <c r="A289" s="1">
        <v>35855</v>
      </c>
      <c r="B289">
        <v>-69.296149999999997</v>
      </c>
      <c r="C289">
        <v>-168.36736999999999</v>
      </c>
      <c r="D289">
        <v>11</v>
      </c>
      <c r="H289" s="12" t="str">
        <f>IFERROR(LOG10(J289/I289),"")</f>
        <v/>
      </c>
      <c r="I289" t="str">
        <f>IF(L289="","",L289/1000/1.022)</f>
        <v/>
      </c>
      <c r="J289" t="str">
        <f>IF(M289="","",M289/1000/1.022)</f>
        <v/>
      </c>
      <c r="K289">
        <f>IF(N289="","",N289/1000/1.022)</f>
        <v>1.0273972602739726E-5</v>
      </c>
      <c r="N289">
        <v>1.0500000000000001E-2</v>
      </c>
      <c r="P289" s="2" t="s">
        <v>44</v>
      </c>
    </row>
    <row r="290" spans="1:16">
      <c r="A290" s="1">
        <v>35855</v>
      </c>
      <c r="B290">
        <v>-69.296149999999997</v>
      </c>
      <c r="C290">
        <v>-168.36736999999999</v>
      </c>
      <c r="D290">
        <v>23</v>
      </c>
      <c r="H290" s="12" t="str">
        <f>IFERROR(LOG10(J290/I290),"")</f>
        <v/>
      </c>
      <c r="I290" t="str">
        <f>IF(L290="","",L290/1000/1.022)</f>
        <v/>
      </c>
      <c r="J290" t="str">
        <f>IF(M290="","",M290/1000/1.022)</f>
        <v/>
      </c>
      <c r="K290">
        <f>IF(N290="","",N290/1000/1.022)</f>
        <v>1.0567514677103718E-5</v>
      </c>
      <c r="N290">
        <v>1.0800000000000001E-2</v>
      </c>
      <c r="P290" s="2" t="s">
        <v>44</v>
      </c>
    </row>
    <row r="291" spans="1:16">
      <c r="A291" s="1">
        <v>35855</v>
      </c>
      <c r="B291">
        <v>-69.296149999999997</v>
      </c>
      <c r="C291">
        <v>-168.36736999999999</v>
      </c>
      <c r="D291">
        <v>29</v>
      </c>
      <c r="H291" s="12" t="str">
        <f>IFERROR(LOG10(J291/I291),"")</f>
        <v/>
      </c>
      <c r="I291" t="str">
        <f>IF(L291="","",L291/1000/1.022)</f>
        <v/>
      </c>
      <c r="J291" t="str">
        <f>IF(M291="","",M291/1000/1.022)</f>
        <v/>
      </c>
      <c r="K291">
        <f>IF(N291="","",N291/1000/1.022)</f>
        <v>8.8062622309197637E-6</v>
      </c>
      <c r="N291">
        <v>8.9999999999999993E-3</v>
      </c>
      <c r="P291" s="2" t="s">
        <v>44</v>
      </c>
    </row>
    <row r="292" spans="1:16">
      <c r="A292" s="1">
        <v>35855</v>
      </c>
      <c r="B292">
        <v>-69.296149999999997</v>
      </c>
      <c r="C292">
        <v>-168.36736999999999</v>
      </c>
      <c r="D292">
        <v>39</v>
      </c>
      <c r="H292" s="12" t="str">
        <f>IFERROR(LOG10(J292/I292),"")</f>
        <v/>
      </c>
      <c r="I292" t="str">
        <f>IF(L292="","",L292/1000/1.022)</f>
        <v/>
      </c>
      <c r="J292" t="str">
        <f>IF(M292="","",M292/1000/1.022)</f>
        <v/>
      </c>
      <c r="K292">
        <f>IF(N292="","",N292/1000/1.022)</f>
        <v>1.360078277886497E-5</v>
      </c>
      <c r="N292">
        <v>1.3899999999999999E-2</v>
      </c>
      <c r="P292" s="2" t="s">
        <v>44</v>
      </c>
    </row>
    <row r="293" spans="1:16">
      <c r="A293" s="1">
        <v>35855</v>
      </c>
      <c r="B293">
        <v>-69.296149999999997</v>
      </c>
      <c r="C293">
        <v>-168.36736999999999</v>
      </c>
      <c r="D293">
        <v>46</v>
      </c>
      <c r="H293" s="12" t="str">
        <f>IFERROR(LOG10(J293/I293),"")</f>
        <v/>
      </c>
      <c r="I293" t="str">
        <f>IF(L293="","",L293/1000/1.022)</f>
        <v/>
      </c>
      <c r="J293" t="str">
        <f>IF(M293="","",M293/1000/1.022)</f>
        <v/>
      </c>
      <c r="K293">
        <f>IF(N293="","",N293/1000/1.022)</f>
        <v>9.7847358121330727E-6</v>
      </c>
      <c r="N293">
        <v>0.01</v>
      </c>
      <c r="P293" s="2" t="s">
        <v>44</v>
      </c>
    </row>
    <row r="294" spans="1:16">
      <c r="A294" s="1">
        <v>35855</v>
      </c>
      <c r="B294">
        <v>-69.296149999999997</v>
      </c>
      <c r="C294">
        <v>-168.36736999999999</v>
      </c>
      <c r="D294">
        <v>76</v>
      </c>
      <c r="H294" s="12" t="str">
        <f>IFERROR(LOG10(J294/I294),"")</f>
        <v/>
      </c>
      <c r="I294" t="str">
        <f>IF(L294="","",L294/1000/1.022)</f>
        <v/>
      </c>
      <c r="J294" t="str">
        <f>IF(M294="","",M294/1000/1.022)</f>
        <v/>
      </c>
      <c r="K294">
        <f>IF(N294="","",N294/1000/1.022)</f>
        <v>9.7847358121330727E-6</v>
      </c>
      <c r="N294">
        <v>0.01</v>
      </c>
      <c r="P294" s="2" t="s">
        <v>44</v>
      </c>
    </row>
    <row r="295" spans="1:16">
      <c r="A295" s="1">
        <v>35855</v>
      </c>
      <c r="B295">
        <v>-69.296149999999997</v>
      </c>
      <c r="C295">
        <v>-168.36736999999999</v>
      </c>
      <c r="D295">
        <v>118</v>
      </c>
      <c r="H295" s="12" t="str">
        <f>IFERROR(LOG10(J295/I295),"")</f>
        <v/>
      </c>
      <c r="I295" t="str">
        <f>IF(L295="","",L295/1000/1.022)</f>
        <v/>
      </c>
      <c r="J295" t="str">
        <f>IF(M295="","",M295/1000/1.022)</f>
        <v/>
      </c>
      <c r="K295">
        <f>IF(N295="","",N295/1000/1.022)</f>
        <v>8.4148727984344435E-6</v>
      </c>
      <c r="N295">
        <v>8.6E-3</v>
      </c>
      <c r="P295" s="2" t="s">
        <v>44</v>
      </c>
    </row>
    <row r="296" spans="1:16">
      <c r="A296" s="1">
        <v>35856</v>
      </c>
      <c r="B296">
        <v>-70.40016</v>
      </c>
      <c r="C296">
        <v>-165.91478000000001</v>
      </c>
      <c r="D296">
        <v>3</v>
      </c>
      <c r="H296" s="12" t="str">
        <f>IFERROR(LOG10(J296/I296),"")</f>
        <v/>
      </c>
      <c r="I296" t="str">
        <f>IF(L296="","",L296/1000/1.022)</f>
        <v/>
      </c>
      <c r="J296" t="str">
        <f>IF(M296="","",M296/1000/1.022)</f>
        <v/>
      </c>
      <c r="K296">
        <f>IF(N296="","",N296/1000/1.022)</f>
        <v>1.340508806262231E-5</v>
      </c>
      <c r="N296">
        <v>1.37E-2</v>
      </c>
      <c r="P296" s="2" t="s">
        <v>44</v>
      </c>
    </row>
    <row r="297" spans="1:16">
      <c r="A297" s="1">
        <v>35856</v>
      </c>
      <c r="B297">
        <v>-70.40016</v>
      </c>
      <c r="C297">
        <v>-165.91478000000001</v>
      </c>
      <c r="D297">
        <v>8</v>
      </c>
      <c r="H297" s="12" t="str">
        <f>IFERROR(LOG10(J297/I297),"")</f>
        <v/>
      </c>
      <c r="I297">
        <f>IF(L297="","",L297/1000/1.022)</f>
        <v>1.2857142857142858E-4</v>
      </c>
      <c r="J297" t="str">
        <f>IF(M297="","",M297/1000/1.022)</f>
        <v/>
      </c>
      <c r="K297">
        <f>IF(N297="","",N297/1000/1.022)</f>
        <v>2.6223091976516633E-5</v>
      </c>
      <c r="L297" s="6">
        <v>0.13139999999999999</v>
      </c>
      <c r="N297">
        <v>2.6800000000000001E-2</v>
      </c>
      <c r="P297" s="2" t="s">
        <v>44</v>
      </c>
    </row>
    <row r="298" spans="1:16">
      <c r="A298" s="1">
        <v>35856</v>
      </c>
      <c r="B298">
        <v>-70.40016</v>
      </c>
      <c r="C298">
        <v>-165.91478000000001</v>
      </c>
      <c r="D298">
        <v>16</v>
      </c>
      <c r="H298" s="12" t="str">
        <f>IFERROR(LOG10(J298/I298),"")</f>
        <v/>
      </c>
      <c r="I298" t="str">
        <f>IF(L298="","",L298/1000/1.022)</f>
        <v/>
      </c>
      <c r="J298" t="str">
        <f>IF(M298="","",M298/1000/1.022)</f>
        <v/>
      </c>
      <c r="K298">
        <f>IF(N298="","",N298/1000/1.022)</f>
        <v>1.62426614481409E-5</v>
      </c>
      <c r="N298">
        <v>1.66E-2</v>
      </c>
      <c r="P298" s="2" t="s">
        <v>44</v>
      </c>
    </row>
    <row r="299" spans="1:16">
      <c r="A299" s="1">
        <v>35856</v>
      </c>
      <c r="B299">
        <v>-70.40016</v>
      </c>
      <c r="C299">
        <v>-165.91478000000001</v>
      </c>
      <c r="D299">
        <v>20</v>
      </c>
      <c r="H299" s="12" t="str">
        <f>IFERROR(LOG10(J299/I299),"")</f>
        <v/>
      </c>
      <c r="I299">
        <f>IF(L299="","",L299/1000/1.022)</f>
        <v>9.6868884540117416E-5</v>
      </c>
      <c r="J299" t="str">
        <f>IF(M299="","",M299/1000/1.022)</f>
        <v/>
      </c>
      <c r="K299">
        <f>IF(N299="","",N299/1000/1.022)</f>
        <v>1.888454011741683E-5</v>
      </c>
      <c r="L299" s="6">
        <v>9.9000000000000005E-2</v>
      </c>
      <c r="N299">
        <v>1.9300000000000001E-2</v>
      </c>
      <c r="P299" s="2" t="s">
        <v>44</v>
      </c>
    </row>
    <row r="300" spans="1:16">
      <c r="A300" s="1">
        <v>35856</v>
      </c>
      <c r="B300">
        <v>-70.40016</v>
      </c>
      <c r="C300">
        <v>-165.91478000000001</v>
      </c>
      <c r="D300">
        <v>26</v>
      </c>
      <c r="H300" s="12" t="str">
        <f>IFERROR(LOG10(J300/I300),"")</f>
        <v/>
      </c>
      <c r="I300" t="str">
        <f>IF(L300="","",L300/1000/1.022)</f>
        <v/>
      </c>
      <c r="J300" t="str">
        <f>IF(M300="","",M300/1000/1.022)</f>
        <v/>
      </c>
      <c r="K300">
        <f>IF(N300="","",N300/1000/1.022)</f>
        <v>1.5362035225048921E-5</v>
      </c>
      <c r="N300">
        <v>1.5699999999999999E-2</v>
      </c>
      <c r="P300" s="2" t="s">
        <v>44</v>
      </c>
    </row>
    <row r="301" spans="1:16">
      <c r="A301" s="1">
        <v>35856</v>
      </c>
      <c r="B301">
        <v>-70.40016</v>
      </c>
      <c r="C301">
        <v>-165.91478000000001</v>
      </c>
      <c r="D301">
        <v>34</v>
      </c>
      <c r="H301" s="12" t="str">
        <f>IFERROR(LOG10(J301/I301),"")</f>
        <v/>
      </c>
      <c r="I301">
        <f>IF(L301="","",L301/1000/1.022)</f>
        <v>2.1135029354207436E-5</v>
      </c>
      <c r="J301" t="str">
        <f>IF(M301="","",M301/1000/1.022)</f>
        <v/>
      </c>
      <c r="K301">
        <f>IF(N301="","",N301/1000/1.022)</f>
        <v>1.4285714285714285E-5</v>
      </c>
      <c r="L301" s="6">
        <v>2.1600000000000001E-2</v>
      </c>
      <c r="N301">
        <v>1.46E-2</v>
      </c>
      <c r="P301" s="2" t="s">
        <v>44</v>
      </c>
    </row>
    <row r="302" spans="1:16">
      <c r="A302" s="1">
        <v>35856</v>
      </c>
      <c r="B302">
        <v>-70.40016</v>
      </c>
      <c r="C302">
        <v>-165.91478000000001</v>
      </c>
      <c r="D302">
        <v>53</v>
      </c>
      <c r="H302" s="12" t="str">
        <f>IFERROR(LOG10(J302/I302),"")</f>
        <v/>
      </c>
      <c r="I302" t="str">
        <f>IF(L302="","",L302/1000/1.022)</f>
        <v/>
      </c>
      <c r="J302" t="str">
        <f>IF(M302="","",M302/1000/1.022)</f>
        <v/>
      </c>
      <c r="K302">
        <f>IF(N302="","",N302/1000/1.022)</f>
        <v>1.2720156555772993E-5</v>
      </c>
      <c r="N302">
        <v>1.2999999999999999E-2</v>
      </c>
      <c r="P302" s="2" t="s">
        <v>44</v>
      </c>
    </row>
    <row r="303" spans="1:16">
      <c r="A303" s="1">
        <v>35856</v>
      </c>
      <c r="B303">
        <v>-70.40016</v>
      </c>
      <c r="C303">
        <v>-165.91478000000001</v>
      </c>
      <c r="D303">
        <v>81</v>
      </c>
      <c r="H303" s="12" t="str">
        <f>IFERROR(LOG10(J303/I303),"")</f>
        <v/>
      </c>
      <c r="I303" t="str">
        <f>IF(L303="","",L303/1000/1.022)</f>
        <v/>
      </c>
      <c r="J303" t="str">
        <f>IF(M303="","",M303/1000/1.022)</f>
        <v/>
      </c>
      <c r="K303">
        <f>IF(N303="","",N303/1000/1.022)</f>
        <v>6.4579256360078281E-6</v>
      </c>
      <c r="N303">
        <v>6.6E-3</v>
      </c>
      <c r="P303" s="2" t="s">
        <v>44</v>
      </c>
    </row>
    <row r="304" spans="1:16">
      <c r="A304" s="1">
        <v>35858</v>
      </c>
      <c r="B304">
        <v>-71.307109999999994</v>
      </c>
      <c r="C304">
        <v>-165.95740000000001</v>
      </c>
      <c r="D304">
        <v>3</v>
      </c>
      <c r="H304" s="12" t="str">
        <f>IFERROR(LOG10(J304/I304),"")</f>
        <v/>
      </c>
      <c r="I304" t="str">
        <f>IF(L304="","",L304/1000/1.022)</f>
        <v/>
      </c>
      <c r="J304" t="str">
        <f>IF(M304="","",M304/1000/1.022)</f>
        <v/>
      </c>
      <c r="K304">
        <f>IF(N304="","",N304/1000/1.022)</f>
        <v>4.5890410958904103E-5</v>
      </c>
      <c r="N304">
        <v>4.6899999999999997E-2</v>
      </c>
      <c r="P304" s="2" t="s">
        <v>44</v>
      </c>
    </row>
    <row r="305" spans="1:16">
      <c r="A305" s="1">
        <v>35858</v>
      </c>
      <c r="B305">
        <v>-71.307109999999994</v>
      </c>
      <c r="C305">
        <v>-165.95740000000001</v>
      </c>
      <c r="D305">
        <v>8</v>
      </c>
      <c r="H305" s="12" t="str">
        <f>IFERROR(LOG10(J305/I305),"")</f>
        <v/>
      </c>
      <c r="I305" t="str">
        <f>IF(L305="","",L305/1000/1.022)</f>
        <v/>
      </c>
      <c r="J305" t="str">
        <f>IF(M305="","",M305/1000/1.022)</f>
        <v/>
      </c>
      <c r="K305">
        <f>IF(N305="","",N305/1000/1.022)</f>
        <v>3.2974559686888455E-5</v>
      </c>
      <c r="N305">
        <v>3.3700000000000001E-2</v>
      </c>
      <c r="P305" s="2" t="s">
        <v>44</v>
      </c>
    </row>
    <row r="306" spans="1:16">
      <c r="A306" s="1">
        <v>35858</v>
      </c>
      <c r="B306">
        <v>-71.307109999999994</v>
      </c>
      <c r="C306">
        <v>-165.95740000000001</v>
      </c>
      <c r="D306">
        <v>15</v>
      </c>
      <c r="H306" s="12" t="str">
        <f>IFERROR(LOG10(J306/I306),"")</f>
        <v/>
      </c>
      <c r="I306" t="str">
        <f>IF(L306="","",L306/1000/1.022)</f>
        <v/>
      </c>
      <c r="J306" t="str">
        <f>IF(M306="","",M306/1000/1.022)</f>
        <v/>
      </c>
      <c r="K306">
        <f>IF(N306="","",N306/1000/1.022)</f>
        <v>2.9745596868884538E-5</v>
      </c>
      <c r="N306">
        <v>3.04E-2</v>
      </c>
      <c r="P306" s="2" t="s">
        <v>44</v>
      </c>
    </row>
    <row r="307" spans="1:16">
      <c r="A307" s="1">
        <v>35858</v>
      </c>
      <c r="B307">
        <v>-71.307109999999994</v>
      </c>
      <c r="C307">
        <v>-165.95740000000001</v>
      </c>
      <c r="D307">
        <v>19</v>
      </c>
      <c r="H307" s="12" t="str">
        <f>IFERROR(LOG10(J307/I307),"")</f>
        <v/>
      </c>
      <c r="I307" t="str">
        <f>IF(L307="","",L307/1000/1.022)</f>
        <v/>
      </c>
      <c r="J307" t="str">
        <f>IF(M307="","",M307/1000/1.022)</f>
        <v/>
      </c>
      <c r="K307">
        <f>IF(N307="","",N307/1000/1.022)</f>
        <v>2.7788649706457927E-5</v>
      </c>
      <c r="N307">
        <v>2.8400000000000002E-2</v>
      </c>
      <c r="P307" s="2" t="s">
        <v>44</v>
      </c>
    </row>
    <row r="308" spans="1:16">
      <c r="A308" s="1">
        <v>35858</v>
      </c>
      <c r="B308">
        <v>-71.307109999999994</v>
      </c>
      <c r="C308">
        <v>-165.95740000000001</v>
      </c>
      <c r="D308">
        <v>24</v>
      </c>
      <c r="H308" s="12" t="str">
        <f>IFERROR(LOG10(J308/I308),"")</f>
        <v/>
      </c>
      <c r="I308" t="str">
        <f>IF(L308="","",L308/1000/1.022)</f>
        <v/>
      </c>
      <c r="J308" t="str">
        <f>IF(M308="","",M308/1000/1.022)</f>
        <v/>
      </c>
      <c r="K308">
        <f>IF(N308="","",N308/1000/1.022)</f>
        <v>2.1624266144814092E-5</v>
      </c>
      <c r="N308">
        <v>2.2100000000000002E-2</v>
      </c>
      <c r="P308" s="2" t="s">
        <v>44</v>
      </c>
    </row>
    <row r="309" spans="1:16">
      <c r="A309" s="1">
        <v>35858</v>
      </c>
      <c r="B309">
        <v>-71.307109999999994</v>
      </c>
      <c r="C309">
        <v>-165.95740000000001</v>
      </c>
      <c r="D309">
        <v>33</v>
      </c>
      <c r="H309" s="12" t="str">
        <f>IFERROR(LOG10(J309/I309),"")</f>
        <v/>
      </c>
      <c r="I309" t="str">
        <f>IF(L309="","",L309/1000/1.022)</f>
        <v/>
      </c>
      <c r="J309" t="str">
        <f>IF(M309="","",M309/1000/1.022)</f>
        <v/>
      </c>
      <c r="K309">
        <f>IF(N309="","",N309/1000/1.022)</f>
        <v>1.7221135029354207E-5</v>
      </c>
      <c r="N309">
        <v>1.7600000000000001E-2</v>
      </c>
      <c r="P309" s="2" t="s">
        <v>44</v>
      </c>
    </row>
    <row r="310" spans="1:16">
      <c r="A310" s="1">
        <v>35858</v>
      </c>
      <c r="B310">
        <v>-71.307109999999994</v>
      </c>
      <c r="C310">
        <v>-165.95740000000001</v>
      </c>
      <c r="D310">
        <v>50</v>
      </c>
      <c r="H310" s="12" t="str">
        <f>IFERROR(LOG10(J310/I310),"")</f>
        <v/>
      </c>
      <c r="I310" t="str">
        <f>IF(L310="","",L310/1000/1.022)</f>
        <v/>
      </c>
      <c r="J310" t="str">
        <f>IF(M310="","",M310/1000/1.022)</f>
        <v/>
      </c>
      <c r="K310">
        <f>IF(N310="","",N310/1000/1.022)</f>
        <v>1.6634050880626221E-6</v>
      </c>
      <c r="N310">
        <v>1.6999999999999999E-3</v>
      </c>
      <c r="P310" s="2" t="s">
        <v>44</v>
      </c>
    </row>
    <row r="311" spans="1:16">
      <c r="A311" s="1">
        <v>35858</v>
      </c>
      <c r="B311">
        <v>-71.307109999999994</v>
      </c>
      <c r="C311">
        <v>-165.95740000000001</v>
      </c>
      <c r="D311">
        <v>76</v>
      </c>
      <c r="H311" s="12" t="str">
        <f>IFERROR(LOG10(J311/I311),"")</f>
        <v/>
      </c>
      <c r="I311" t="str">
        <f>IF(L311="","",L311/1000/1.022)</f>
        <v/>
      </c>
      <c r="J311" t="str">
        <f>IF(M311="","",M311/1000/1.022)</f>
        <v/>
      </c>
      <c r="K311">
        <f>IF(N311="","",N311/1000/1.022)</f>
        <v>1.6340508806262228E-5</v>
      </c>
      <c r="N311">
        <v>1.67E-2</v>
      </c>
      <c r="P311" s="2" t="s">
        <v>44</v>
      </c>
    </row>
    <row r="312" spans="1:16">
      <c r="A312" s="1">
        <v>35859</v>
      </c>
      <c r="B312">
        <v>-69.299989999999994</v>
      </c>
      <c r="C312">
        <v>-168.36668</v>
      </c>
      <c r="D312">
        <v>3</v>
      </c>
      <c r="H312" s="12" t="str">
        <f>IFERROR(LOG10(J312/I312),"")</f>
        <v/>
      </c>
      <c r="I312" t="str">
        <f>IF(L312="","",L312/1000/1.022)</f>
        <v/>
      </c>
      <c r="J312" t="str">
        <f>IF(M312="","",M312/1000/1.022)</f>
        <v/>
      </c>
      <c r="K312">
        <f>IF(N312="","",N312/1000/1.022)</f>
        <v>5.2837573385518591E-6</v>
      </c>
      <c r="N312">
        <v>5.4000000000000003E-3</v>
      </c>
      <c r="P312" s="2" t="s">
        <v>44</v>
      </c>
    </row>
    <row r="313" spans="1:16">
      <c r="A313" s="1">
        <v>35859</v>
      </c>
      <c r="B313">
        <v>-69.299989999999994</v>
      </c>
      <c r="C313">
        <v>-168.36668</v>
      </c>
      <c r="D313">
        <v>11</v>
      </c>
      <c r="H313" s="12" t="str">
        <f>IFERROR(LOG10(J313/I313),"")</f>
        <v/>
      </c>
      <c r="I313">
        <f>IF(L313="","",L313/1000/1.022)</f>
        <v>1.1800391389432486E-4</v>
      </c>
      <c r="J313" t="str">
        <f>IF(M313="","",M313/1000/1.022)</f>
        <v/>
      </c>
      <c r="K313">
        <f>IF(N313="","",N313/1000/1.022)</f>
        <v>2.3287671232876714E-5</v>
      </c>
      <c r="L313" s="6">
        <v>0.1206</v>
      </c>
      <c r="N313">
        <v>2.3800000000000002E-2</v>
      </c>
      <c r="P313" s="2" t="s">
        <v>44</v>
      </c>
    </row>
    <row r="314" spans="1:16">
      <c r="A314" s="1">
        <v>35859</v>
      </c>
      <c r="B314">
        <v>-69.299989999999994</v>
      </c>
      <c r="C314">
        <v>-168.36668</v>
      </c>
      <c r="D314">
        <v>22</v>
      </c>
      <c r="H314" s="12" t="str">
        <f>IFERROR(LOG10(J314/I314),"")</f>
        <v/>
      </c>
      <c r="I314" t="str">
        <f>IF(L314="","",L314/1000/1.022)</f>
        <v/>
      </c>
      <c r="J314" t="str">
        <f>IF(M314="","",M314/1000/1.022)</f>
        <v/>
      </c>
      <c r="K314">
        <f>IF(N314="","",N314/1000/1.022)</f>
        <v>9.5890410958904109E-6</v>
      </c>
      <c r="N314">
        <v>9.7999999999999997E-3</v>
      </c>
      <c r="P314" s="2" t="s">
        <v>44</v>
      </c>
    </row>
    <row r="315" spans="1:16">
      <c r="A315" s="1">
        <v>35859</v>
      </c>
      <c r="B315">
        <v>-69.299989999999994</v>
      </c>
      <c r="C315">
        <v>-168.36668</v>
      </c>
      <c r="D315">
        <v>26</v>
      </c>
      <c r="H315" s="12" t="str">
        <f>IFERROR(LOG10(J315/I315),"")</f>
        <v/>
      </c>
      <c r="I315">
        <f>IF(L315="","",L315/1000/1.022)</f>
        <v>2.0958904109589041E-4</v>
      </c>
      <c r="J315" t="str">
        <f>IF(M315="","",M315/1000/1.022)</f>
        <v/>
      </c>
      <c r="K315">
        <f>IF(N315="","",N315/1000/1.022)</f>
        <v>1.4187866927592955E-5</v>
      </c>
      <c r="L315" s="6">
        <v>0.2142</v>
      </c>
      <c r="N315">
        <v>1.4500000000000001E-2</v>
      </c>
      <c r="P315" s="2" t="s">
        <v>44</v>
      </c>
    </row>
    <row r="316" spans="1:16">
      <c r="A316" s="1">
        <v>35859</v>
      </c>
      <c r="B316">
        <v>-69.299989999999994</v>
      </c>
      <c r="C316">
        <v>-168.36668</v>
      </c>
      <c r="D316">
        <v>35</v>
      </c>
      <c r="H316" s="12" t="str">
        <f>IFERROR(LOG10(J316/I316),"")</f>
        <v/>
      </c>
      <c r="I316" t="str">
        <f>IF(L316="","",L316/1000/1.022)</f>
        <v/>
      </c>
      <c r="J316" t="str">
        <f>IF(M316="","",M316/1000/1.022)</f>
        <v/>
      </c>
      <c r="K316">
        <f>IF(N316="","",N316/1000/1.022)</f>
        <v>2.2994129158512719E-5</v>
      </c>
      <c r="N316">
        <v>2.35E-2</v>
      </c>
      <c r="P316" s="2" t="s">
        <v>44</v>
      </c>
    </row>
    <row r="317" spans="1:16">
      <c r="A317" s="1">
        <v>35859</v>
      </c>
      <c r="B317">
        <v>-69.299989999999994</v>
      </c>
      <c r="C317">
        <v>-168.36668</v>
      </c>
      <c r="D317">
        <v>47</v>
      </c>
      <c r="H317" s="12" t="str">
        <f>IFERROR(LOG10(J317/I317),"")</f>
        <v/>
      </c>
      <c r="I317">
        <f>IF(L317="","",L317/1000/1.022)</f>
        <v>4.7553816046966726E-5</v>
      </c>
      <c r="J317" t="str">
        <f>IF(M317="","",M317/1000/1.022)</f>
        <v/>
      </c>
      <c r="K317">
        <f>IF(N317="","",N317/1000/1.022)</f>
        <v>1.927592954990215E-5</v>
      </c>
      <c r="L317" s="6">
        <v>4.8599999999999997E-2</v>
      </c>
      <c r="N317">
        <v>1.9699999999999999E-2</v>
      </c>
      <c r="P317" s="2" t="s">
        <v>44</v>
      </c>
    </row>
    <row r="318" spans="1:16">
      <c r="A318" s="1">
        <v>35859</v>
      </c>
      <c r="B318">
        <v>-69.299989999999994</v>
      </c>
      <c r="C318">
        <v>-168.36668</v>
      </c>
      <c r="D318">
        <v>72</v>
      </c>
      <c r="H318" s="12" t="str">
        <f>IFERROR(LOG10(J318/I318),"")</f>
        <v/>
      </c>
      <c r="I318">
        <f>IF(L318="","",L318/1000/1.022)</f>
        <v>1.761252446183953E-6</v>
      </c>
      <c r="J318" t="str">
        <f>IF(M318="","",M318/1000/1.022)</f>
        <v/>
      </c>
      <c r="K318">
        <f>IF(N318="","",N318/1000/1.022)</f>
        <v>7.4363992172211346E-6</v>
      </c>
      <c r="L318" s="6">
        <v>1.8E-3</v>
      </c>
      <c r="N318">
        <v>7.6E-3</v>
      </c>
      <c r="P318" s="2" t="s">
        <v>44</v>
      </c>
    </row>
    <row r="319" spans="1:16">
      <c r="A319" s="1">
        <v>35859</v>
      </c>
      <c r="B319">
        <v>-69.299989999999994</v>
      </c>
      <c r="C319">
        <v>-168.36668</v>
      </c>
      <c r="D319">
        <v>106</v>
      </c>
      <c r="H319" s="12" t="str">
        <f>IFERROR(LOG10(J319/I319),"")</f>
        <v/>
      </c>
      <c r="I319" t="str">
        <f>IF(L319="","",L319/1000/1.022)</f>
        <v/>
      </c>
      <c r="J319" t="str">
        <f>IF(M319="","",M319/1000/1.022)</f>
        <v/>
      </c>
      <c r="K319">
        <f>IF(N319="","",N319/1000/1.022)</f>
        <v>1.5459882583170256E-5</v>
      </c>
      <c r="N319">
        <v>1.5800000000000002E-2</v>
      </c>
      <c r="P319" s="2" t="s">
        <v>44</v>
      </c>
    </row>
    <row r="320" spans="1:16">
      <c r="A320" s="1">
        <v>35859</v>
      </c>
      <c r="B320">
        <v>-69.3</v>
      </c>
      <c r="C320">
        <v>-168.36668</v>
      </c>
      <c r="D320">
        <v>6</v>
      </c>
      <c r="H320" s="12" t="str">
        <f>IFERROR(LOG10(J320/I320),"")</f>
        <v/>
      </c>
      <c r="I320" t="str">
        <f>IF(L320="","",L320/1000/1.022)</f>
        <v/>
      </c>
      <c r="J320">
        <f>IF(M320="","",M320/1000/1.022)</f>
        <v>3.0528375733855185E-5</v>
      </c>
      <c r="K320" t="str">
        <f>IF(N320="","",N320/1000/1.022)</f>
        <v/>
      </c>
      <c r="M320" s="7">
        <v>3.1199999999999999E-2</v>
      </c>
      <c r="N320"/>
      <c r="P320" s="2" t="s">
        <v>44</v>
      </c>
    </row>
    <row r="321" spans="1:16">
      <c r="A321" s="1">
        <v>35859</v>
      </c>
      <c r="B321">
        <v>-69.3</v>
      </c>
      <c r="C321">
        <v>-168.36668</v>
      </c>
      <c r="D321">
        <v>12</v>
      </c>
      <c r="H321" s="12" t="str">
        <f>IFERROR(LOG10(J321/I321),"")</f>
        <v/>
      </c>
      <c r="I321" t="str">
        <f>IF(L321="","",L321/1000/1.022)</f>
        <v/>
      </c>
      <c r="J321">
        <f>IF(M321="","",M321/1000/1.022)</f>
        <v>2.211350293542074E-5</v>
      </c>
      <c r="K321" t="str">
        <f>IF(N321="","",N321/1000/1.022)</f>
        <v/>
      </c>
      <c r="M321" s="7">
        <v>2.2599999999999999E-2</v>
      </c>
      <c r="N321"/>
      <c r="P321" s="2" t="s">
        <v>44</v>
      </c>
    </row>
    <row r="322" spans="1:16">
      <c r="A322" s="1">
        <v>35859</v>
      </c>
      <c r="B322">
        <v>-69.3</v>
      </c>
      <c r="C322">
        <v>-168.36668</v>
      </c>
      <c r="D322">
        <v>22</v>
      </c>
      <c r="H322" s="12" t="str">
        <f>IFERROR(LOG10(J322/I322),"")</f>
        <v/>
      </c>
      <c r="I322" t="str">
        <f>IF(L322="","",L322/1000/1.022)</f>
        <v/>
      </c>
      <c r="J322">
        <f>IF(M322="","",M322/1000/1.022)</f>
        <v>1.8101761252446183E-5</v>
      </c>
      <c r="K322" t="str">
        <f>IF(N322="","",N322/1000/1.022)</f>
        <v/>
      </c>
      <c r="M322" s="7">
        <v>1.8499999999999999E-2</v>
      </c>
      <c r="N322"/>
      <c r="P322" s="2" t="s">
        <v>44</v>
      </c>
    </row>
    <row r="323" spans="1:16">
      <c r="A323" s="1">
        <v>35859</v>
      </c>
      <c r="B323">
        <v>-69.3</v>
      </c>
      <c r="C323">
        <v>-168.36668</v>
      </c>
      <c r="D323">
        <v>26</v>
      </c>
      <c r="H323" s="12" t="str">
        <f>IFERROR(LOG10(J323/I323),"")</f>
        <v/>
      </c>
      <c r="I323" t="str">
        <f>IF(L323="","",L323/1000/1.022)</f>
        <v/>
      </c>
      <c r="J323">
        <f>IF(M323="","",M323/1000/1.022)</f>
        <v>2.1135029354207436E-5</v>
      </c>
      <c r="K323" t="str">
        <f>IF(N323="","",N323/1000/1.022)</f>
        <v/>
      </c>
      <c r="M323" s="7">
        <v>2.1600000000000001E-2</v>
      </c>
      <c r="N323"/>
      <c r="P323" s="2" t="s">
        <v>44</v>
      </c>
    </row>
    <row r="324" spans="1:16">
      <c r="A324" s="1">
        <v>35859</v>
      </c>
      <c r="B324">
        <v>-69.3</v>
      </c>
      <c r="C324">
        <v>-168.36668</v>
      </c>
      <c r="D324">
        <v>36</v>
      </c>
      <c r="H324" s="12" t="str">
        <f>IFERROR(LOG10(J324/I324),"")</f>
        <v/>
      </c>
      <c r="I324" t="str">
        <f>IF(L324="","",L324/1000/1.022)</f>
        <v/>
      </c>
      <c r="J324">
        <f>IF(M324="","",M324/1000/1.022)</f>
        <v>1.6144814090019572E-5</v>
      </c>
      <c r="K324" t="str">
        <f>IF(N324="","",N324/1000/1.022)</f>
        <v/>
      </c>
      <c r="M324" s="7">
        <v>1.6500000000000001E-2</v>
      </c>
      <c r="N324"/>
      <c r="P324" s="2" t="s">
        <v>44</v>
      </c>
    </row>
    <row r="325" spans="1:16">
      <c r="A325" s="1">
        <v>35859</v>
      </c>
      <c r="B325">
        <v>-69.3</v>
      </c>
      <c r="C325">
        <v>-168.36668</v>
      </c>
      <c r="D325">
        <v>47</v>
      </c>
      <c r="H325" s="12" t="str">
        <f>IFERROR(LOG10(J325/I325),"")</f>
        <v/>
      </c>
      <c r="I325" t="str">
        <f>IF(L325="","",L325/1000/1.022)</f>
        <v/>
      </c>
      <c r="J325">
        <f>IF(M325="","",M325/1000/1.022)</f>
        <v>9.6868884540117409E-6</v>
      </c>
      <c r="K325" t="str">
        <f>IF(N325="","",N325/1000/1.022)</f>
        <v/>
      </c>
      <c r="M325" s="7">
        <v>9.9000000000000008E-3</v>
      </c>
      <c r="N325"/>
      <c r="P325" s="2" t="s">
        <v>44</v>
      </c>
    </row>
    <row r="326" spans="1:16">
      <c r="A326" s="1">
        <v>35859</v>
      </c>
      <c r="B326">
        <v>-69.3</v>
      </c>
      <c r="C326">
        <v>-168.36668</v>
      </c>
      <c r="D326">
        <v>71</v>
      </c>
      <c r="H326" s="12" t="str">
        <f>IFERROR(LOG10(J326/I326),"")</f>
        <v/>
      </c>
      <c r="I326" t="str">
        <f>IF(L326="","",L326/1000/1.022)</f>
        <v/>
      </c>
      <c r="J326">
        <f>IF(M326="","",M326/1000/1.022)</f>
        <v>3.3268101761252441E-6</v>
      </c>
      <c r="K326" t="str">
        <f>IF(N326="","",N326/1000/1.022)</f>
        <v/>
      </c>
      <c r="M326" s="7">
        <v>3.3999999999999998E-3</v>
      </c>
      <c r="N326"/>
      <c r="P326" s="2" t="s">
        <v>44</v>
      </c>
    </row>
    <row r="327" spans="1:16">
      <c r="A327" s="1">
        <v>35861</v>
      </c>
      <c r="B327">
        <v>-67.499899999999997</v>
      </c>
      <c r="C327">
        <v>-170.00017</v>
      </c>
      <c r="D327">
        <v>4</v>
      </c>
      <c r="H327" s="12" t="str">
        <f>IFERROR(LOG10(J327/I327),"")</f>
        <v/>
      </c>
      <c r="I327" t="str">
        <f>IF(L327="","",L327/1000/1.022)</f>
        <v/>
      </c>
      <c r="J327" t="str">
        <f>IF(M327="","",M327/1000/1.022)</f>
        <v/>
      </c>
      <c r="K327">
        <f>IF(N327="","",N327/1000/1.022)</f>
        <v>1.8297455968688846E-5</v>
      </c>
      <c r="N327">
        <v>1.8700000000000001E-2</v>
      </c>
      <c r="P327" s="2" t="s">
        <v>44</v>
      </c>
    </row>
    <row r="328" spans="1:16">
      <c r="A328" s="1">
        <v>35861</v>
      </c>
      <c r="B328">
        <v>-67.499899999999997</v>
      </c>
      <c r="C328">
        <v>-170.00017</v>
      </c>
      <c r="D328">
        <v>12</v>
      </c>
      <c r="H328" s="12" t="str">
        <f>IFERROR(LOG10(J328/I328),"")</f>
        <v/>
      </c>
      <c r="I328" t="str">
        <f>IF(L328="","",L328/1000/1.022)</f>
        <v/>
      </c>
      <c r="J328" t="str">
        <f>IF(M328="","",M328/1000/1.022)</f>
        <v/>
      </c>
      <c r="K328">
        <f>IF(N328="","",N328/1000/1.022)</f>
        <v>1.350293542074364E-5</v>
      </c>
      <c r="N328">
        <v>1.38E-2</v>
      </c>
      <c r="P328" s="2" t="s">
        <v>44</v>
      </c>
    </row>
    <row r="329" spans="1:16">
      <c r="A329" s="1">
        <v>35861</v>
      </c>
      <c r="B329">
        <v>-67.499899999999997</v>
      </c>
      <c r="C329">
        <v>-170.00017</v>
      </c>
      <c r="D329">
        <v>26</v>
      </c>
      <c r="H329" s="12" t="str">
        <f>IFERROR(LOG10(J329/I329),"")</f>
        <v/>
      </c>
      <c r="I329" t="str">
        <f>IF(L329="","",L329/1000/1.022)</f>
        <v/>
      </c>
      <c r="J329" t="str">
        <f>IF(M329="","",M329/1000/1.022)</f>
        <v/>
      </c>
      <c r="K329">
        <f>IF(N329="","",N329/1000/1.022)</f>
        <v>1.360078277886497E-5</v>
      </c>
      <c r="N329">
        <v>1.3899999999999999E-2</v>
      </c>
      <c r="P329" s="2" t="s">
        <v>44</v>
      </c>
    </row>
    <row r="330" spans="1:16">
      <c r="A330" s="1">
        <v>35861</v>
      </c>
      <c r="B330">
        <v>-67.499899999999997</v>
      </c>
      <c r="C330">
        <v>-170.00017</v>
      </c>
      <c r="D330">
        <v>30</v>
      </c>
      <c r="H330" s="12" t="str">
        <f>IFERROR(LOG10(J330/I330),"")</f>
        <v/>
      </c>
      <c r="I330" t="str">
        <f>IF(L330="","",L330/1000/1.022)</f>
        <v/>
      </c>
      <c r="J330" t="str">
        <f>IF(M330="","",M330/1000/1.022)</f>
        <v/>
      </c>
      <c r="K330">
        <f>IF(N330="","",N330/1000/1.022)</f>
        <v>1.1545988258317025E-5</v>
      </c>
      <c r="N330">
        <v>1.18E-2</v>
      </c>
      <c r="P330" s="2" t="s">
        <v>44</v>
      </c>
    </row>
    <row r="331" spans="1:16">
      <c r="A331" s="1">
        <v>35861</v>
      </c>
      <c r="B331">
        <v>-67.499899999999997</v>
      </c>
      <c r="C331">
        <v>-170.00017</v>
      </c>
      <c r="D331">
        <v>42</v>
      </c>
      <c r="H331" s="12" t="str">
        <f>IFERROR(LOG10(J331/I331),"")</f>
        <v/>
      </c>
      <c r="I331" t="str">
        <f>IF(L331="","",L331/1000/1.022)</f>
        <v/>
      </c>
      <c r="J331" t="str">
        <f>IF(M331="","",M331/1000/1.022)</f>
        <v/>
      </c>
      <c r="K331">
        <f>IF(N331="","",N331/1000/1.022)</f>
        <v>1.1839530332681017E-5</v>
      </c>
      <c r="N331">
        <v>1.21E-2</v>
      </c>
      <c r="P331" s="2" t="s">
        <v>44</v>
      </c>
    </row>
    <row r="332" spans="1:16">
      <c r="A332" s="1">
        <v>35861</v>
      </c>
      <c r="B332">
        <v>-67.499899999999997</v>
      </c>
      <c r="C332">
        <v>-170.00017</v>
      </c>
      <c r="D332">
        <v>52</v>
      </c>
      <c r="H332" s="12" t="str">
        <f>IFERROR(LOG10(J332/I332),"")</f>
        <v/>
      </c>
      <c r="I332" t="str">
        <f>IF(L332="","",L332/1000/1.022)</f>
        <v/>
      </c>
      <c r="J332" t="str">
        <f>IF(M332="","",M332/1000/1.022)</f>
        <v/>
      </c>
      <c r="K332">
        <f>IF(N332="","",N332/1000/1.022)</f>
        <v>1.360078277886497E-5</v>
      </c>
      <c r="N332">
        <v>1.3899999999999999E-2</v>
      </c>
      <c r="P332" s="2" t="s">
        <v>44</v>
      </c>
    </row>
    <row r="333" spans="1:16">
      <c r="A333" s="1">
        <v>35861</v>
      </c>
      <c r="B333">
        <v>-67.499899999999997</v>
      </c>
      <c r="C333">
        <v>-170.00017</v>
      </c>
      <c r="D333">
        <v>81</v>
      </c>
      <c r="H333" s="12" t="str">
        <f>IFERROR(LOG10(J333/I333),"")</f>
        <v/>
      </c>
      <c r="I333" t="str">
        <f>IF(L333="","",L333/1000/1.022)</f>
        <v/>
      </c>
      <c r="J333" t="str">
        <f>IF(M333="","",M333/1000/1.022)</f>
        <v/>
      </c>
      <c r="K333">
        <f>IF(N333="","",N333/1000/1.022)</f>
        <v>8.7084148727984337E-6</v>
      </c>
      <c r="N333">
        <v>8.8999999999999999E-3</v>
      </c>
      <c r="P333" s="2" t="s">
        <v>44</v>
      </c>
    </row>
    <row r="334" spans="1:16">
      <c r="A334" s="1">
        <v>35861</v>
      </c>
      <c r="B334">
        <v>-67.499899999999997</v>
      </c>
      <c r="C334">
        <v>-170.00017</v>
      </c>
      <c r="D334">
        <v>122</v>
      </c>
      <c r="H334" s="12" t="str">
        <f>IFERROR(LOG10(J334/I334),"")</f>
        <v/>
      </c>
      <c r="I334" t="str">
        <f>IF(L334="","",L334/1000/1.022)</f>
        <v/>
      </c>
      <c r="J334" t="str">
        <f>IF(M334="","",M334/1000/1.022)</f>
        <v/>
      </c>
      <c r="K334">
        <f>IF(N334="","",N334/1000/1.022)</f>
        <v>1.4187866927592955E-5</v>
      </c>
      <c r="N334">
        <v>1.4500000000000001E-2</v>
      </c>
      <c r="P334" s="2" t="s">
        <v>44</v>
      </c>
    </row>
    <row r="335" spans="1:16">
      <c r="A335" s="1">
        <v>35861</v>
      </c>
      <c r="B335">
        <v>-66.100139999999996</v>
      </c>
      <c r="C335">
        <v>-169.67157</v>
      </c>
      <c r="D335">
        <v>2</v>
      </c>
      <c r="H335" s="12" t="str">
        <f>IFERROR(LOG10(J335/I335),"")</f>
        <v/>
      </c>
      <c r="I335" t="str">
        <f>IF(L335="","",L335/1000/1.022)</f>
        <v/>
      </c>
      <c r="J335" t="str">
        <f>IF(M335="","",M335/1000/1.022)</f>
        <v/>
      </c>
      <c r="K335">
        <f>IF(N335="","",N335/1000/1.022)</f>
        <v>1.927592954990215E-5</v>
      </c>
      <c r="N335">
        <v>1.9699999999999999E-2</v>
      </c>
      <c r="P335" s="2" t="s">
        <v>44</v>
      </c>
    </row>
    <row r="336" spans="1:16">
      <c r="A336" s="1">
        <v>35861</v>
      </c>
      <c r="B336">
        <v>-66.100139999999996</v>
      </c>
      <c r="C336">
        <v>-169.67157</v>
      </c>
      <c r="D336">
        <v>9</v>
      </c>
      <c r="H336" s="12" t="str">
        <f>IFERROR(LOG10(J336/I336),"")</f>
        <v/>
      </c>
      <c r="I336" t="str">
        <f>IF(L336="","",L336/1000/1.022)</f>
        <v/>
      </c>
      <c r="J336" t="str">
        <f>IF(M336="","",M336/1000/1.022)</f>
        <v/>
      </c>
      <c r="K336">
        <f>IF(N336="","",N336/1000/1.022)</f>
        <v>2.0352250489236789E-5</v>
      </c>
      <c r="N336">
        <v>2.0799999999999999E-2</v>
      </c>
      <c r="P336" s="2" t="s">
        <v>44</v>
      </c>
    </row>
    <row r="337" spans="1:16">
      <c r="A337" s="1">
        <v>35861</v>
      </c>
      <c r="B337">
        <v>-66.100139999999996</v>
      </c>
      <c r="C337">
        <v>-169.67157</v>
      </c>
      <c r="D337">
        <v>21</v>
      </c>
      <c r="H337" s="12" t="str">
        <f>IFERROR(LOG10(J337/I337),"")</f>
        <v/>
      </c>
      <c r="I337" t="str">
        <f>IF(L337="","",L337/1000/1.022)</f>
        <v/>
      </c>
      <c r="J337" t="str">
        <f>IF(M337="","",M337/1000/1.022)</f>
        <v/>
      </c>
      <c r="K337">
        <f>IF(N337="","",N337/1000/1.022)</f>
        <v>1.7710371819960863E-5</v>
      </c>
      <c r="N337">
        <v>1.8100000000000002E-2</v>
      </c>
      <c r="P337" s="2" t="s">
        <v>44</v>
      </c>
    </row>
    <row r="338" spans="1:16">
      <c r="A338" s="1">
        <v>35861</v>
      </c>
      <c r="B338">
        <v>-66.100139999999996</v>
      </c>
      <c r="C338">
        <v>-169.67157</v>
      </c>
      <c r="D338">
        <v>27</v>
      </c>
      <c r="H338" s="12" t="str">
        <f>IFERROR(LOG10(J338/I338),"")</f>
        <v/>
      </c>
      <c r="I338" t="str">
        <f>IF(L338="","",L338/1000/1.022)</f>
        <v/>
      </c>
      <c r="J338" t="str">
        <f>IF(M338="","",M338/1000/1.022)</f>
        <v/>
      </c>
      <c r="K338">
        <f>IF(N338="","",N338/1000/1.022)</f>
        <v>1.7612524461839527E-5</v>
      </c>
      <c r="N338">
        <v>1.7999999999999999E-2</v>
      </c>
      <c r="P338" s="2" t="s">
        <v>44</v>
      </c>
    </row>
    <row r="339" spans="1:16">
      <c r="A339" s="1">
        <v>35861</v>
      </c>
      <c r="B339">
        <v>-66.100139999999996</v>
      </c>
      <c r="C339">
        <v>-169.67157</v>
      </c>
      <c r="D339">
        <v>36</v>
      </c>
      <c r="H339" s="12" t="str">
        <f>IFERROR(LOG10(J339/I339),"")</f>
        <v/>
      </c>
      <c r="I339" t="str">
        <f>IF(L339="","",L339/1000/1.022)</f>
        <v/>
      </c>
      <c r="J339" t="str">
        <f>IF(M339="","",M339/1000/1.022)</f>
        <v/>
      </c>
      <c r="K339">
        <f>IF(N339="","",N339/1000/1.022)</f>
        <v>8.4148727984344435E-6</v>
      </c>
      <c r="N339">
        <v>8.6E-3</v>
      </c>
      <c r="P339" s="2" t="s">
        <v>44</v>
      </c>
    </row>
    <row r="340" spans="1:16">
      <c r="A340" s="1">
        <v>35861</v>
      </c>
      <c r="B340">
        <v>-66.100139999999996</v>
      </c>
      <c r="C340">
        <v>-169.67157</v>
      </c>
      <c r="D340">
        <v>44</v>
      </c>
      <c r="H340" s="12" t="str">
        <f>IFERROR(LOG10(J340/I340),"")</f>
        <v/>
      </c>
      <c r="I340" t="str">
        <f>IF(L340="","",L340/1000/1.022)</f>
        <v/>
      </c>
      <c r="J340" t="str">
        <f>IF(M340="","",M340/1000/1.022)</f>
        <v/>
      </c>
      <c r="K340">
        <f>IF(N340="","",N340/1000/1.022)</f>
        <v>2.3385518590998043E-5</v>
      </c>
      <c r="N340">
        <v>2.3900000000000001E-2</v>
      </c>
      <c r="P340" s="2" t="s">
        <v>44</v>
      </c>
    </row>
    <row r="341" spans="1:16">
      <c r="A341" s="1">
        <v>35861</v>
      </c>
      <c r="B341">
        <v>-66.100139999999996</v>
      </c>
      <c r="C341">
        <v>-169.67157</v>
      </c>
      <c r="D341">
        <v>71</v>
      </c>
      <c r="H341" s="12" t="str">
        <f>IFERROR(LOG10(J341/I341),"")</f>
        <v/>
      </c>
      <c r="I341" t="str">
        <f>IF(L341="","",L341/1000/1.022)</f>
        <v/>
      </c>
      <c r="J341" t="str">
        <f>IF(M341="","",M341/1000/1.022)</f>
        <v/>
      </c>
      <c r="K341">
        <f>IF(N341="","",N341/1000/1.022)</f>
        <v>1.1643835616438357E-5</v>
      </c>
      <c r="N341">
        <v>1.1900000000000001E-2</v>
      </c>
      <c r="P341" s="2" t="s">
        <v>44</v>
      </c>
    </row>
    <row r="342" spans="1:16">
      <c r="A342" s="1">
        <v>35861</v>
      </c>
      <c r="B342">
        <v>-66.100139999999996</v>
      </c>
      <c r="C342">
        <v>-169.67157</v>
      </c>
      <c r="D342">
        <v>106</v>
      </c>
      <c r="H342" s="12" t="str">
        <f>IFERROR(LOG10(J342/I342),"")</f>
        <v/>
      </c>
      <c r="I342" t="str">
        <f>IF(L342="","",L342/1000/1.022)</f>
        <v/>
      </c>
      <c r="J342" t="str">
        <f>IF(M342="","",M342/1000/1.022)</f>
        <v/>
      </c>
      <c r="K342">
        <f>IF(N342="","",N342/1000/1.022)</f>
        <v>5.7729941291585127E-6</v>
      </c>
      <c r="N342">
        <v>5.8999999999999999E-3</v>
      </c>
      <c r="P342" s="2" t="s">
        <v>44</v>
      </c>
    </row>
    <row r="343" spans="1:16">
      <c r="A343" s="1">
        <v>35862</v>
      </c>
      <c r="B343">
        <v>-64.700059999999993</v>
      </c>
      <c r="C343">
        <v>-169.33341999999999</v>
      </c>
      <c r="D343">
        <v>5</v>
      </c>
      <c r="H343" s="12" t="str">
        <f>IFERROR(LOG10(J343/I343),"")</f>
        <v/>
      </c>
      <c r="I343" t="str">
        <f>IF(L343="","",L343/1000/1.022)</f>
        <v/>
      </c>
      <c r="J343" t="str">
        <f>IF(M343="","",M343/1000/1.022)</f>
        <v/>
      </c>
      <c r="K343">
        <f>IF(N343="","",N343/1000/1.022)</f>
        <v>5.6751467710371818E-6</v>
      </c>
      <c r="N343">
        <v>5.7999999999999996E-3</v>
      </c>
      <c r="P343" s="2" t="s">
        <v>44</v>
      </c>
    </row>
    <row r="344" spans="1:16">
      <c r="A344" s="1">
        <v>35862</v>
      </c>
      <c r="B344">
        <v>-64.700059999999993</v>
      </c>
      <c r="C344">
        <v>-169.33341999999999</v>
      </c>
      <c r="D344">
        <v>13</v>
      </c>
      <c r="H344" s="12" t="str">
        <f>IFERROR(LOG10(J344/I344),"")</f>
        <v/>
      </c>
      <c r="I344">
        <f>IF(L344="","",L344/1000/1.022)</f>
        <v>4.5792563600782781E-4</v>
      </c>
      <c r="J344" t="str">
        <f>IF(M344="","",M344/1000/1.022)</f>
        <v/>
      </c>
      <c r="K344">
        <f>IF(N344="","",N344/1000/1.022)</f>
        <v>5.8708414872798436E-6</v>
      </c>
      <c r="L344" s="6">
        <v>0.46800000000000003</v>
      </c>
      <c r="N344">
        <v>6.0000000000000001E-3</v>
      </c>
      <c r="P344" s="2" t="s">
        <v>44</v>
      </c>
    </row>
    <row r="345" spans="1:16">
      <c r="A345" s="1">
        <v>35862</v>
      </c>
      <c r="B345">
        <v>-64.700059999999993</v>
      </c>
      <c r="C345">
        <v>-169.33341999999999</v>
      </c>
      <c r="D345">
        <v>26</v>
      </c>
      <c r="H345" s="12" t="str">
        <f>IFERROR(LOG10(J345/I345),"")</f>
        <v/>
      </c>
      <c r="I345" t="str">
        <f>IF(L345="","",L345/1000/1.022)</f>
        <v/>
      </c>
      <c r="J345" t="str">
        <f>IF(M345="","",M345/1000/1.022)</f>
        <v/>
      </c>
      <c r="K345">
        <f>IF(N345="","",N345/1000/1.022)</f>
        <v>4.10958904109589E-6</v>
      </c>
      <c r="N345">
        <v>4.1999999999999997E-3</v>
      </c>
      <c r="P345" s="2" t="s">
        <v>44</v>
      </c>
    </row>
    <row r="346" spans="1:16">
      <c r="A346" s="1">
        <v>35862</v>
      </c>
      <c r="B346">
        <v>-64.700059999999993</v>
      </c>
      <c r="C346">
        <v>-169.33341999999999</v>
      </c>
      <c r="D346">
        <v>32</v>
      </c>
      <c r="H346" s="12" t="str">
        <f>IFERROR(LOG10(J346/I346),"")</f>
        <v/>
      </c>
      <c r="I346">
        <f>IF(L346="","",L346/1000/1.022)</f>
        <v>6.6927592954990221E-5</v>
      </c>
      <c r="J346" t="str">
        <f>IF(M346="","",M346/1000/1.022)</f>
        <v/>
      </c>
      <c r="K346">
        <f>IF(N346="","",N346/1000/1.022)</f>
        <v>7.1428571428571427E-6</v>
      </c>
      <c r="L346" s="6">
        <v>6.8400000000000002E-2</v>
      </c>
      <c r="N346">
        <v>7.3000000000000001E-3</v>
      </c>
      <c r="P346" s="2" t="s">
        <v>44</v>
      </c>
    </row>
    <row r="347" spans="1:16">
      <c r="A347" s="1">
        <v>35862</v>
      </c>
      <c r="B347">
        <v>-64.700059999999993</v>
      </c>
      <c r="C347">
        <v>-169.33341999999999</v>
      </c>
      <c r="D347">
        <v>42</v>
      </c>
      <c r="H347" s="12" t="str">
        <f>IFERROR(LOG10(J347/I347),"")</f>
        <v/>
      </c>
      <c r="I347" t="str">
        <f>IF(L347="","",L347/1000/1.022)</f>
        <v/>
      </c>
      <c r="J347" t="str">
        <f>IF(M347="","",M347/1000/1.022)</f>
        <v/>
      </c>
      <c r="K347">
        <f>IF(N347="","",N347/1000/1.022)</f>
        <v>6.1643835616438354E-6</v>
      </c>
      <c r="N347">
        <v>6.3E-3</v>
      </c>
      <c r="P347" s="2" t="s">
        <v>44</v>
      </c>
    </row>
    <row r="348" spans="1:16">
      <c r="A348" s="1">
        <v>35862</v>
      </c>
      <c r="B348">
        <v>-64.700059999999993</v>
      </c>
      <c r="C348">
        <v>-169.33341999999999</v>
      </c>
      <c r="D348">
        <v>56</v>
      </c>
      <c r="H348" s="12" t="str">
        <f>IFERROR(LOG10(J348/I348),"")</f>
        <v/>
      </c>
      <c r="I348">
        <f>IF(L348="","",L348/1000/1.022)</f>
        <v>1.831702544031311E-4</v>
      </c>
      <c r="J348" t="str">
        <f>IF(M348="","",M348/1000/1.022)</f>
        <v/>
      </c>
      <c r="K348">
        <f>IF(N348="","",N348/1000/1.022)</f>
        <v>2.9354207436399218E-6</v>
      </c>
      <c r="L348" s="6">
        <v>0.18720000000000001</v>
      </c>
      <c r="N348">
        <v>3.0000000000000001E-3</v>
      </c>
      <c r="P348" s="2" t="s">
        <v>44</v>
      </c>
    </row>
    <row r="349" spans="1:16">
      <c r="A349" s="1">
        <v>35862</v>
      </c>
      <c r="B349">
        <v>-64.700059999999993</v>
      </c>
      <c r="C349">
        <v>-169.33341999999999</v>
      </c>
      <c r="D349">
        <v>86</v>
      </c>
      <c r="H349" s="12" t="str">
        <f>IFERROR(LOG10(J349/I349),"")</f>
        <v/>
      </c>
      <c r="I349">
        <f>IF(L349="","",L349/1000/1.022)</f>
        <v>1.2328767123287671E-4</v>
      </c>
      <c r="J349" t="str">
        <f>IF(M349="","",M349/1000/1.022)</f>
        <v/>
      </c>
      <c r="K349">
        <f>IF(N349="","",N349/1000/1.022)</f>
        <v>7.5342465753424663E-6</v>
      </c>
      <c r="L349" s="6">
        <v>0.126</v>
      </c>
      <c r="N349">
        <v>7.7000000000000002E-3</v>
      </c>
      <c r="P349" s="2" t="s">
        <v>44</v>
      </c>
    </row>
    <row r="350" spans="1:16">
      <c r="A350" s="1">
        <v>35862</v>
      </c>
      <c r="B350">
        <v>-64.700059999999993</v>
      </c>
      <c r="C350">
        <v>-169.33341999999999</v>
      </c>
      <c r="D350">
        <v>130</v>
      </c>
      <c r="H350" s="12" t="str">
        <f>IFERROR(LOG10(J350/I350),"")</f>
        <v/>
      </c>
      <c r="I350" t="str">
        <f>IF(L350="","",L350/1000/1.022)</f>
        <v/>
      </c>
      <c r="J350" t="str">
        <f>IF(M350="","",M350/1000/1.022)</f>
        <v/>
      </c>
      <c r="K350">
        <f>IF(N350="","",N350/1000/1.022)</f>
        <v>3.4246575342465754E-6</v>
      </c>
      <c r="N350">
        <v>3.5000000000000001E-3</v>
      </c>
      <c r="P350" s="2" t="s">
        <v>44</v>
      </c>
    </row>
    <row r="351" spans="1:16">
      <c r="A351" s="1">
        <v>35863</v>
      </c>
      <c r="B351">
        <v>-63.08334</v>
      </c>
      <c r="C351">
        <v>-169.88337999999999</v>
      </c>
      <c r="D351">
        <v>17</v>
      </c>
      <c r="H351" s="12" t="str">
        <f>IFERROR(LOG10(J351/I351),"")</f>
        <v/>
      </c>
      <c r="I351">
        <f>IF(L351="","",L351/1000/1.022)</f>
        <v>8.8062622309197637E-6</v>
      </c>
      <c r="J351" t="str">
        <f>IF(M351="","",M351/1000/1.022)</f>
        <v/>
      </c>
      <c r="K351" t="str">
        <f>IF(N351="","",N351/1000/1.022)</f>
        <v/>
      </c>
      <c r="L351" s="6">
        <v>8.9999999999999993E-3</v>
      </c>
      <c r="N351"/>
      <c r="P351" s="2" t="s">
        <v>44</v>
      </c>
    </row>
    <row r="352" spans="1:16">
      <c r="A352" s="1">
        <v>35863</v>
      </c>
      <c r="B352">
        <v>-63.08334</v>
      </c>
      <c r="C352">
        <v>-169.88337999999999</v>
      </c>
      <c r="D352">
        <v>41</v>
      </c>
      <c r="H352" s="12" t="str">
        <f>IFERROR(LOG10(J352/I352),"")</f>
        <v/>
      </c>
      <c r="I352">
        <f>IF(L352="","",L352/1000/1.022)</f>
        <v>2.4657534246575342E-5</v>
      </c>
      <c r="J352" t="str">
        <f>IF(M352="","",M352/1000/1.022)</f>
        <v/>
      </c>
      <c r="K352" t="str">
        <f>IF(N352="","",N352/1000/1.022)</f>
        <v/>
      </c>
      <c r="L352" s="6">
        <v>2.52E-2</v>
      </c>
      <c r="N352"/>
      <c r="P352" s="2" t="s">
        <v>44</v>
      </c>
    </row>
    <row r="353" spans="1:16">
      <c r="A353" s="1">
        <v>35863</v>
      </c>
      <c r="B353">
        <v>-63.08334</v>
      </c>
      <c r="C353">
        <v>-169.88337999999999</v>
      </c>
      <c r="D353">
        <v>72</v>
      </c>
      <c r="H353" s="12" t="str">
        <f>IFERROR(LOG10(J353/I353),"")</f>
        <v/>
      </c>
      <c r="I353">
        <f>IF(L353="","",L353/1000/1.022)</f>
        <v>1.7612524461839527E-5</v>
      </c>
      <c r="J353" t="str">
        <f>IF(M353="","",M353/1000/1.022)</f>
        <v/>
      </c>
      <c r="K353" t="str">
        <f>IF(N353="","",N353/1000/1.022)</f>
        <v/>
      </c>
      <c r="L353" s="6">
        <v>1.7999999999999999E-2</v>
      </c>
      <c r="N353"/>
      <c r="P353" s="2" t="s">
        <v>44</v>
      </c>
    </row>
    <row r="354" spans="1:16">
      <c r="A354" s="1">
        <v>35863</v>
      </c>
      <c r="B354">
        <v>-63.08334</v>
      </c>
      <c r="C354">
        <v>-169.88337999999999</v>
      </c>
      <c r="D354">
        <v>110</v>
      </c>
      <c r="H354" s="12" t="str">
        <f>IFERROR(LOG10(J354/I354),"")</f>
        <v/>
      </c>
      <c r="I354">
        <f>IF(L354="","",L354/1000/1.022)</f>
        <v>3.5225048923679059E-6</v>
      </c>
      <c r="J354" t="str">
        <f>IF(M354="","",M354/1000/1.022)</f>
        <v/>
      </c>
      <c r="K354" t="str">
        <f>IF(N354="","",N354/1000/1.022)</f>
        <v/>
      </c>
      <c r="L354" s="6">
        <v>3.5999999999999999E-3</v>
      </c>
      <c r="N354"/>
      <c r="P354" s="2" t="s">
        <v>44</v>
      </c>
    </row>
    <row r="355" spans="1:16">
      <c r="A355" s="1">
        <v>35864</v>
      </c>
      <c r="B355">
        <v>-61.666739999999997</v>
      </c>
      <c r="C355">
        <v>-170.10026999999999</v>
      </c>
      <c r="D355">
        <v>5</v>
      </c>
      <c r="H355" s="12" t="str">
        <f>IFERROR(LOG10(J355/I355),"")</f>
        <v/>
      </c>
      <c r="I355" t="str">
        <f>IF(L355="","",L355/1000/1.022)</f>
        <v/>
      </c>
      <c r="J355" t="str">
        <f>IF(M355="","",M355/1000/1.022)</f>
        <v/>
      </c>
      <c r="K355">
        <f>IF(N355="","",N355/1000/1.022)</f>
        <v>1.1154598825831704E-5</v>
      </c>
      <c r="N355">
        <v>1.14E-2</v>
      </c>
      <c r="P355" s="2" t="s">
        <v>44</v>
      </c>
    </row>
    <row r="356" spans="1:16">
      <c r="A356" s="1">
        <v>35864</v>
      </c>
      <c r="B356">
        <v>-61.666739999999997</v>
      </c>
      <c r="C356">
        <v>-170.10026999999999</v>
      </c>
      <c r="D356">
        <v>15</v>
      </c>
      <c r="H356" s="12" t="str">
        <f>IFERROR(LOG10(J356/I356),"")</f>
        <v/>
      </c>
      <c r="I356">
        <f>IF(L356="","",L356/1000/1.022)</f>
        <v>1.8140900195694716E-4</v>
      </c>
      <c r="J356" t="str">
        <f>IF(M356="","",M356/1000/1.022)</f>
        <v/>
      </c>
      <c r="K356" t="str">
        <f>IF(N356="","",N356/1000/1.022)</f>
        <v/>
      </c>
      <c r="L356" s="6">
        <v>0.18540000000000001</v>
      </c>
      <c r="N356"/>
      <c r="P356" s="2" t="s">
        <v>44</v>
      </c>
    </row>
    <row r="357" spans="1:16">
      <c r="A357" s="1">
        <v>35864</v>
      </c>
      <c r="B357">
        <v>-61.666739999999997</v>
      </c>
      <c r="C357">
        <v>-170.10026999999999</v>
      </c>
      <c r="D357">
        <v>31</v>
      </c>
      <c r="H357" s="12" t="str">
        <f>IFERROR(LOG10(J357/I357),"")</f>
        <v/>
      </c>
      <c r="I357" t="str">
        <f>IF(L357="","",L357/1000/1.022)</f>
        <v/>
      </c>
      <c r="J357" t="str">
        <f>IF(M357="","",M357/1000/1.022)</f>
        <v/>
      </c>
      <c r="K357">
        <f>IF(N357="","",N357/1000/1.022)</f>
        <v>8.9041095890410972E-6</v>
      </c>
      <c r="N357">
        <v>9.1000000000000004E-3</v>
      </c>
      <c r="P357" s="2" t="s">
        <v>44</v>
      </c>
    </row>
    <row r="358" spans="1:16">
      <c r="A358" s="1">
        <v>35864</v>
      </c>
      <c r="B358">
        <v>-61.666739999999997</v>
      </c>
      <c r="C358">
        <v>-170.10026999999999</v>
      </c>
      <c r="D358">
        <v>38</v>
      </c>
      <c r="H358" s="12" t="str">
        <f>IFERROR(LOG10(J358/I358),"")</f>
        <v/>
      </c>
      <c r="I358">
        <f>IF(L358="","",L358/1000/1.022)</f>
        <v>4.4031311154598824E-5</v>
      </c>
      <c r="J358" t="str">
        <f>IF(M358="","",M358/1000/1.022)</f>
        <v/>
      </c>
      <c r="K358">
        <f>IF(N358="","",N358/1000/1.022)</f>
        <v>1.105675146771037E-5</v>
      </c>
      <c r="L358" s="6">
        <v>4.4999999999999998E-2</v>
      </c>
      <c r="N358">
        <v>1.1299999999999999E-2</v>
      </c>
      <c r="P358" s="2" t="s">
        <v>44</v>
      </c>
    </row>
    <row r="359" spans="1:16">
      <c r="A359" s="1">
        <v>35864</v>
      </c>
      <c r="B359">
        <v>-61.666739999999997</v>
      </c>
      <c r="C359">
        <v>-170.10026999999999</v>
      </c>
      <c r="D359">
        <v>51</v>
      </c>
      <c r="H359" s="12" t="str">
        <f>IFERROR(LOG10(J359/I359),"")</f>
        <v/>
      </c>
      <c r="I359" t="str">
        <f>IF(L359="","",L359/1000/1.022)</f>
        <v/>
      </c>
      <c r="J359" t="str">
        <f>IF(M359="","",M359/1000/1.022)</f>
        <v/>
      </c>
      <c r="K359">
        <f>IF(N359="","",N359/1000/1.022)</f>
        <v>1.0567514677103718E-5</v>
      </c>
      <c r="N359">
        <v>1.0800000000000001E-2</v>
      </c>
      <c r="P359" s="2" t="s">
        <v>44</v>
      </c>
    </row>
    <row r="360" spans="1:16">
      <c r="A360" s="1">
        <v>35864</v>
      </c>
      <c r="B360">
        <v>-61.666739999999997</v>
      </c>
      <c r="C360">
        <v>-170.10026999999999</v>
      </c>
      <c r="D360">
        <v>67</v>
      </c>
      <c r="H360" s="12" t="str">
        <f>IFERROR(LOG10(J360/I360),"")</f>
        <v/>
      </c>
      <c r="I360">
        <f>IF(L360="","",L360/1000/1.022)</f>
        <v>7.0450097847358118E-6</v>
      </c>
      <c r="J360" t="str">
        <f>IF(M360="","",M360/1000/1.022)</f>
        <v/>
      </c>
      <c r="K360">
        <f>IF(N360="","",N360/1000/1.022)</f>
        <v>1.5459882583170256E-5</v>
      </c>
      <c r="L360" s="6">
        <v>7.1999999999999998E-3</v>
      </c>
      <c r="N360">
        <v>1.5800000000000002E-2</v>
      </c>
      <c r="P360" s="2" t="s">
        <v>44</v>
      </c>
    </row>
    <row r="361" spans="1:16">
      <c r="A361" s="1">
        <v>35864</v>
      </c>
      <c r="B361">
        <v>-61.666739999999997</v>
      </c>
      <c r="C361">
        <v>-170.10026999999999</v>
      </c>
      <c r="D361">
        <v>100</v>
      </c>
      <c r="H361" s="12" t="str">
        <f>IFERROR(LOG10(J361/I361),"")</f>
        <v/>
      </c>
      <c r="I361">
        <f>IF(L361="","",L361/1000/1.022)</f>
        <v>1.761252446183953E-6</v>
      </c>
      <c r="J361" t="str">
        <f>IF(M361="","",M361/1000/1.022)</f>
        <v/>
      </c>
      <c r="K361">
        <f>IF(N361="","",N361/1000/1.022)</f>
        <v>1.6731898238747555E-5</v>
      </c>
      <c r="L361" s="6">
        <v>1.8E-3</v>
      </c>
      <c r="N361">
        <v>1.7100000000000001E-2</v>
      </c>
      <c r="P361" s="2" t="s">
        <v>44</v>
      </c>
    </row>
    <row r="362" spans="1:16">
      <c r="A362" s="1">
        <v>35864</v>
      </c>
      <c r="B362">
        <v>-61.666739999999997</v>
      </c>
      <c r="C362">
        <v>-170.10026999999999</v>
      </c>
      <c r="D362">
        <v>154</v>
      </c>
      <c r="H362" s="12" t="str">
        <f>IFERROR(LOG10(J362/I362),"")</f>
        <v/>
      </c>
      <c r="I362" t="str">
        <f>IF(L362="","",L362/1000/1.022)</f>
        <v/>
      </c>
      <c r="J362" t="str">
        <f>IF(M362="","",M362/1000/1.022)</f>
        <v/>
      </c>
      <c r="K362">
        <f>IF(N362="","",N362/1000/1.022)</f>
        <v>7.2407045009784736E-6</v>
      </c>
      <c r="N362">
        <v>7.4000000000000003E-3</v>
      </c>
      <c r="P362" s="2" t="s">
        <v>44</v>
      </c>
    </row>
    <row r="363" spans="1:16">
      <c r="A363" s="1">
        <v>35864</v>
      </c>
      <c r="B363">
        <v>-61.666319999999999</v>
      </c>
      <c r="C363">
        <v>-170.09926999999999</v>
      </c>
      <c r="D363">
        <v>4</v>
      </c>
      <c r="H363" s="12" t="str">
        <f>IFERROR(LOG10(J363/I363),"")</f>
        <v/>
      </c>
      <c r="I363" t="str">
        <f>IF(L363="","",L363/1000/1.022)</f>
        <v/>
      </c>
      <c r="J363">
        <f>IF(M363="","",M363/1000/1.022)</f>
        <v>4.0313111545988258E-5</v>
      </c>
      <c r="K363" t="str">
        <f>IF(N363="","",N363/1000/1.022)</f>
        <v/>
      </c>
      <c r="M363" s="7">
        <v>4.1200000000000001E-2</v>
      </c>
      <c r="N363"/>
      <c r="P363" s="2" t="s">
        <v>44</v>
      </c>
    </row>
    <row r="364" spans="1:16">
      <c r="A364" s="1">
        <v>35864</v>
      </c>
      <c r="B364">
        <v>-61.666319999999999</v>
      </c>
      <c r="C364">
        <v>-170.09926999999999</v>
      </c>
      <c r="D364">
        <v>14</v>
      </c>
      <c r="H364" s="12" t="str">
        <f>IFERROR(LOG10(J364/I364),"")</f>
        <v/>
      </c>
      <c r="I364" t="str">
        <f>IF(L364="","",L364/1000/1.022)</f>
        <v/>
      </c>
      <c r="J364">
        <f>IF(M364="","",M364/1000/1.022)</f>
        <v>1.8688845401174166E-5</v>
      </c>
      <c r="K364" t="str">
        <f>IF(N364="","",N364/1000/1.022)</f>
        <v/>
      </c>
      <c r="M364" s="7">
        <v>1.9099999999999999E-2</v>
      </c>
      <c r="N364"/>
      <c r="P364" s="2" t="s">
        <v>44</v>
      </c>
    </row>
    <row r="365" spans="1:16">
      <c r="A365" s="1">
        <v>35864</v>
      </c>
      <c r="B365">
        <v>-61.666319999999999</v>
      </c>
      <c r="C365">
        <v>-170.09926999999999</v>
      </c>
      <c r="D365">
        <v>30</v>
      </c>
      <c r="H365" s="12" t="str">
        <f>IFERROR(LOG10(J365/I365),"")</f>
        <v/>
      </c>
      <c r="I365" t="str">
        <f>IF(L365="","",L365/1000/1.022)</f>
        <v/>
      </c>
      <c r="J365">
        <f>IF(M365="","",M365/1000/1.022)</f>
        <v>2.191780821917808E-5</v>
      </c>
      <c r="K365" t="str">
        <f>IF(N365="","",N365/1000/1.022)</f>
        <v/>
      </c>
      <c r="M365" s="7">
        <v>2.24E-2</v>
      </c>
      <c r="N365"/>
      <c r="P365" s="2" t="s">
        <v>44</v>
      </c>
    </row>
    <row r="366" spans="1:16">
      <c r="A366" s="1">
        <v>35864</v>
      </c>
      <c r="B366">
        <v>-61.666319999999999</v>
      </c>
      <c r="C366">
        <v>-170.09926999999999</v>
      </c>
      <c r="D366">
        <v>52</v>
      </c>
      <c r="H366" s="12" t="str">
        <f>IFERROR(LOG10(J366/I366),"")</f>
        <v/>
      </c>
      <c r="I366" t="str">
        <f>IF(L366="","",L366/1000/1.022)</f>
        <v/>
      </c>
      <c r="J366">
        <f>IF(M366="","",M366/1000/1.022)</f>
        <v>8.12133072407045E-6</v>
      </c>
      <c r="K366" t="str">
        <f>IF(N366="","",N366/1000/1.022)</f>
        <v/>
      </c>
      <c r="M366" s="7">
        <v>8.3000000000000001E-3</v>
      </c>
      <c r="N366"/>
      <c r="P366" s="2" t="s">
        <v>373</v>
      </c>
    </row>
    <row r="367" spans="1:16">
      <c r="A367" s="1">
        <v>35864</v>
      </c>
      <c r="B367">
        <v>-61.666319999999999</v>
      </c>
      <c r="C367">
        <v>-170.09926999999999</v>
      </c>
      <c r="D367">
        <v>67</v>
      </c>
      <c r="H367" s="12" t="str">
        <f>IFERROR(LOG10(J367/I367),"")</f>
        <v/>
      </c>
      <c r="I367" t="str">
        <f>IF(L367="","",L367/1000/1.022)</f>
        <v/>
      </c>
      <c r="J367">
        <f>IF(M367="","",M367/1000/1.022)</f>
        <v>1.0371819960861056E-5</v>
      </c>
      <c r="K367" t="str">
        <f>IF(N367="","",N367/1000/1.022)</f>
        <v/>
      </c>
      <c r="M367" s="7">
        <v>1.06E-2</v>
      </c>
      <c r="N367"/>
      <c r="P367" s="2" t="s">
        <v>44</v>
      </c>
    </row>
    <row r="368" spans="1:16">
      <c r="A368" s="1">
        <v>35868</v>
      </c>
      <c r="B368">
        <v>-54.333309999999997</v>
      </c>
      <c r="C368">
        <v>-173.33348000000001</v>
      </c>
      <c r="D368">
        <v>6</v>
      </c>
      <c r="H368" s="12" t="str">
        <f>IFERROR(LOG10(J368/I368),"")</f>
        <v/>
      </c>
      <c r="I368" t="str">
        <f>IF(L368="","",L368/1000/1.022)</f>
        <v/>
      </c>
      <c r="J368" t="str">
        <f>IF(M368="","",M368/1000/1.022)</f>
        <v/>
      </c>
      <c r="K368">
        <f>IF(N368="","",N368/1000/1.022)</f>
        <v>1.5068493150684933E-5</v>
      </c>
      <c r="N368">
        <v>1.54E-2</v>
      </c>
      <c r="P368" s="2" t="s">
        <v>44</v>
      </c>
    </row>
    <row r="369" spans="1:17">
      <c r="A369" s="1">
        <v>35868</v>
      </c>
      <c r="B369">
        <v>-54.333309999999997</v>
      </c>
      <c r="C369">
        <v>-173.33348000000001</v>
      </c>
      <c r="D369">
        <v>15</v>
      </c>
      <c r="H369" s="12" t="str">
        <f>IFERROR(LOG10(J369/I369),"")</f>
        <v/>
      </c>
      <c r="I369">
        <f>IF(L369="","",L369/1000/1.022)</f>
        <v>2.0958904109589041E-4</v>
      </c>
      <c r="J369" t="str">
        <f>IF(M369="","",M369/1000/1.022)</f>
        <v/>
      </c>
      <c r="K369">
        <f>IF(N369="","",N369/1000/1.022)</f>
        <v>2.0254403131115457E-5</v>
      </c>
      <c r="L369" s="6">
        <v>0.2142</v>
      </c>
      <c r="N369">
        <v>2.07E-2</v>
      </c>
      <c r="P369" s="2" t="s">
        <v>44</v>
      </c>
    </row>
    <row r="370" spans="1:17">
      <c r="A370" s="1">
        <v>35868</v>
      </c>
      <c r="B370">
        <v>-54.333309999999997</v>
      </c>
      <c r="C370">
        <v>-173.33348000000001</v>
      </c>
      <c r="D370">
        <v>30</v>
      </c>
      <c r="H370" s="12" t="str">
        <f>IFERROR(LOG10(J370/I370),"")</f>
        <v/>
      </c>
      <c r="I370" t="str">
        <f>IF(L370="","",L370/1000/1.022)</f>
        <v/>
      </c>
      <c r="J370" t="str">
        <f>IF(M370="","",M370/1000/1.022)</f>
        <v/>
      </c>
      <c r="K370">
        <f>IF(N370="","",N370/1000/1.022)</f>
        <v>8.5127201565557719E-6</v>
      </c>
      <c r="N370">
        <v>8.6999999999999994E-3</v>
      </c>
      <c r="P370" s="2" t="s">
        <v>44</v>
      </c>
    </row>
    <row r="371" spans="1:17">
      <c r="A371" s="1">
        <v>35868</v>
      </c>
      <c r="B371">
        <v>-54.333309999999997</v>
      </c>
      <c r="C371">
        <v>-173.33348000000001</v>
      </c>
      <c r="D371">
        <v>49</v>
      </c>
      <c r="H371" s="12" t="str">
        <f>IFERROR(LOG10(J371/I371),"")</f>
        <v/>
      </c>
      <c r="I371" t="str">
        <f>IF(L371="","",L371/1000/1.022)</f>
        <v/>
      </c>
      <c r="J371" t="str">
        <f>IF(M371="","",M371/1000/1.022)</f>
        <v/>
      </c>
      <c r="K371">
        <f>IF(N371="","",N371/1000/1.022)</f>
        <v>9.3933463796477491E-6</v>
      </c>
      <c r="N371">
        <v>9.5999999999999992E-3</v>
      </c>
      <c r="P371" s="2" t="s">
        <v>44</v>
      </c>
    </row>
    <row r="372" spans="1:17">
      <c r="A372" s="1">
        <v>35868</v>
      </c>
      <c r="B372">
        <v>-54.333309999999997</v>
      </c>
      <c r="C372">
        <v>-173.33348000000001</v>
      </c>
      <c r="D372">
        <v>64</v>
      </c>
      <c r="H372" s="12" t="str">
        <f>IFERROR(LOG10(J372/I372),"")</f>
        <v/>
      </c>
      <c r="I372">
        <f>IF(L372="","",L372/1000/1.022)</f>
        <v>1.3737769080234834E-4</v>
      </c>
      <c r="J372" t="str">
        <f>IF(M372="","",M372/1000/1.022)</f>
        <v/>
      </c>
      <c r="K372">
        <f>IF(N372="","",N372/1000/1.022)</f>
        <v>7.7299412915851281E-6</v>
      </c>
      <c r="L372" s="6">
        <v>0.1404</v>
      </c>
      <c r="N372">
        <v>7.9000000000000008E-3</v>
      </c>
      <c r="P372" s="2" t="s">
        <v>44</v>
      </c>
    </row>
    <row r="373" spans="1:17">
      <c r="A373" s="1">
        <v>35868</v>
      </c>
      <c r="B373">
        <v>-54.333309999999997</v>
      </c>
      <c r="C373">
        <v>-173.33348000000001</v>
      </c>
      <c r="D373">
        <v>98</v>
      </c>
      <c r="H373" s="12" t="str">
        <f>IFERROR(LOG10(J373/I373),"")</f>
        <v/>
      </c>
      <c r="I373">
        <f>IF(L373="","",L373/1000/1.022)</f>
        <v>8.4540117416829745E-5</v>
      </c>
      <c r="J373" t="str">
        <f>IF(M373="","",M373/1000/1.022)</f>
        <v/>
      </c>
      <c r="K373">
        <f>IF(N373="","",N373/1000/1.022)</f>
        <v>4.5988258317025436E-6</v>
      </c>
      <c r="L373" s="6">
        <v>8.6400000000000005E-2</v>
      </c>
      <c r="N373">
        <v>4.7000000000000002E-3</v>
      </c>
      <c r="P373" s="2" t="s">
        <v>44</v>
      </c>
    </row>
    <row r="374" spans="1:17">
      <c r="A374" s="1">
        <v>35868</v>
      </c>
      <c r="B374">
        <v>-54.333309999999997</v>
      </c>
      <c r="C374">
        <v>-173.33348000000001</v>
      </c>
      <c r="D374">
        <v>146</v>
      </c>
      <c r="H374" s="12" t="str">
        <f>IFERROR(LOG10(J374/I374),"")</f>
        <v/>
      </c>
      <c r="I374" t="str">
        <f>IF(L374="","",L374/1000/1.022)</f>
        <v/>
      </c>
      <c r="J374" t="str">
        <f>IF(M374="","",M374/1000/1.022)</f>
        <v/>
      </c>
      <c r="K374">
        <f>IF(N374="","",N374/1000/1.022)</f>
        <v>6.6536203522504882E-6</v>
      </c>
      <c r="N374">
        <v>6.7999999999999996E-3</v>
      </c>
      <c r="P374" s="2" t="s">
        <v>44</v>
      </c>
    </row>
    <row r="375" spans="1:17" s="4" customFormat="1">
      <c r="A375" s="3">
        <v>34773</v>
      </c>
      <c r="B375" s="4">
        <v>22.388200000000001</v>
      </c>
      <c r="C375" s="4">
        <v>59.879600000000003</v>
      </c>
      <c r="D375" s="4">
        <v>0</v>
      </c>
      <c r="H375" s="12" t="str">
        <f>IFERROR(LOG10(J375/I375),"")</f>
        <v/>
      </c>
      <c r="I375" t="str">
        <f>IF(L375="","",L375/1000/1.022)</f>
        <v/>
      </c>
      <c r="J375" t="str">
        <f>IF(M375="","",M375/1000/1.022)</f>
        <v/>
      </c>
      <c r="K375" t="str">
        <f>IF(N375="","",N375/1000/1.022)</f>
        <v/>
      </c>
      <c r="L375" s="6"/>
      <c r="M375" s="7"/>
      <c r="N375"/>
      <c r="P375" s="5" t="s">
        <v>47</v>
      </c>
      <c r="Q375" s="5" t="s">
        <v>48</v>
      </c>
    </row>
    <row r="376" spans="1:17" s="4" customFormat="1">
      <c r="A376" s="3">
        <v>34773</v>
      </c>
      <c r="B376" s="4">
        <v>22.388200000000001</v>
      </c>
      <c r="C376" s="4">
        <v>59.879600000000003</v>
      </c>
      <c r="D376" s="4">
        <v>17</v>
      </c>
      <c r="H376" s="12" t="str">
        <f>IFERROR(LOG10(J376/I376),"")</f>
        <v/>
      </c>
      <c r="I376" t="str">
        <f>IF(L376="","",L376/1000/1.022)</f>
        <v/>
      </c>
      <c r="J376" t="str">
        <f>IF(M376="","",M376/1000/1.022)</f>
        <v/>
      </c>
      <c r="K376" t="str">
        <f>IF(N376="","",N376/1000/1.022)</f>
        <v/>
      </c>
      <c r="L376" s="6"/>
      <c r="M376" s="7"/>
      <c r="N376"/>
      <c r="P376" s="5" t="s">
        <v>47</v>
      </c>
      <c r="Q376" s="5" t="s">
        <v>48</v>
      </c>
    </row>
    <row r="377" spans="1:17" s="4" customFormat="1">
      <c r="A377" s="3">
        <v>34773</v>
      </c>
      <c r="B377" s="4">
        <v>22.482500000000002</v>
      </c>
      <c r="C377" s="4">
        <v>61.180799999999998</v>
      </c>
      <c r="D377" s="4">
        <v>0</v>
      </c>
      <c r="H377" s="12" t="str">
        <f>IFERROR(LOG10(J377/I377),"")</f>
        <v/>
      </c>
      <c r="I377" t="str">
        <f>IF(L377="","",L377/1000/1.022)</f>
        <v/>
      </c>
      <c r="J377" t="str">
        <f>IF(M377="","",M377/1000/1.022)</f>
        <v/>
      </c>
      <c r="K377" t="str">
        <f>IF(N377="","",N377/1000/1.022)</f>
        <v/>
      </c>
      <c r="L377" s="6"/>
      <c r="M377" s="7"/>
      <c r="N377"/>
      <c r="P377" s="5" t="s">
        <v>47</v>
      </c>
      <c r="Q377" s="5" t="s">
        <v>48</v>
      </c>
    </row>
    <row r="378" spans="1:17" s="4" customFormat="1">
      <c r="A378" s="3">
        <v>34773</v>
      </c>
      <c r="B378" s="4">
        <v>22.482500000000002</v>
      </c>
      <c r="C378" s="4">
        <v>61.180799999999998</v>
      </c>
      <c r="D378" s="4">
        <v>11</v>
      </c>
      <c r="H378" s="12" t="str">
        <f>IFERROR(LOG10(J378/I378),"")</f>
        <v/>
      </c>
      <c r="I378">
        <f>IF(L378="","",L378/1000/1.022)</f>
        <v>5.6751467710371818E-6</v>
      </c>
      <c r="J378" t="str">
        <f>IF(M378="","",M378/1000/1.022)</f>
        <v/>
      </c>
      <c r="K378">
        <f>IF(N378="","",N378/1000/1.022)</f>
        <v>1.0567514677103718E-5</v>
      </c>
      <c r="L378" s="6">
        <v>5.7999999999999996E-3</v>
      </c>
      <c r="M378" s="7"/>
      <c r="N378">
        <v>1.0800000000000001E-2</v>
      </c>
      <c r="P378" s="5" t="s">
        <v>47</v>
      </c>
      <c r="Q378" s="5" t="s">
        <v>48</v>
      </c>
    </row>
    <row r="379" spans="1:17" s="4" customFormat="1">
      <c r="A379" s="3">
        <v>34773</v>
      </c>
      <c r="B379" s="4">
        <v>22.482500000000002</v>
      </c>
      <c r="C379" s="4">
        <v>61.180799999999998</v>
      </c>
      <c r="D379" s="4">
        <v>18</v>
      </c>
      <c r="H379" s="12" t="str">
        <f>IFERROR(LOG10(J379/I379),"")</f>
        <v/>
      </c>
      <c r="I379" t="str">
        <f>IF(L379="","",L379/1000/1.022)</f>
        <v/>
      </c>
      <c r="J379" t="str">
        <f>IF(M379="","",M379/1000/1.022)</f>
        <v/>
      </c>
      <c r="K379" t="str">
        <f>IF(N379="","",N379/1000/1.022)</f>
        <v/>
      </c>
      <c r="L379" s="6"/>
      <c r="M379" s="7"/>
      <c r="N379"/>
      <c r="P379" s="5" t="s">
        <v>47</v>
      </c>
      <c r="Q379" s="5" t="s">
        <v>48</v>
      </c>
    </row>
    <row r="380" spans="1:17" s="4" customFormat="1">
      <c r="A380" s="3">
        <v>34773</v>
      </c>
      <c r="B380" s="4">
        <v>22.482500000000002</v>
      </c>
      <c r="C380" s="4">
        <v>61.180799999999998</v>
      </c>
      <c r="D380" s="4">
        <v>26</v>
      </c>
      <c r="H380" s="12" t="str">
        <f>IFERROR(LOG10(J380/I380),"")</f>
        <v/>
      </c>
      <c r="I380" t="str">
        <f>IF(L380="","",L380/1000/1.022)</f>
        <v/>
      </c>
      <c r="J380" t="str">
        <f>IF(M380="","",M380/1000/1.022)</f>
        <v/>
      </c>
      <c r="K380">
        <f>IF(N380="","",N380/1000/1.022)</f>
        <v>2.054794520547945E-6</v>
      </c>
      <c r="L380" s="6"/>
      <c r="M380" s="7"/>
      <c r="N380">
        <v>2.0999999999999999E-3</v>
      </c>
      <c r="P380" s="5" t="s">
        <v>47</v>
      </c>
      <c r="Q380" s="5" t="s">
        <v>48</v>
      </c>
    </row>
    <row r="381" spans="1:17" s="4" customFormat="1">
      <c r="A381" s="3">
        <v>34773</v>
      </c>
      <c r="B381" s="4">
        <v>22.482500000000002</v>
      </c>
      <c r="C381" s="4">
        <v>61.180799999999998</v>
      </c>
      <c r="D381" s="4">
        <v>36</v>
      </c>
      <c r="H381" s="12" t="str">
        <f>IFERROR(LOG10(J381/I381),"")</f>
        <v/>
      </c>
      <c r="I381" t="str">
        <f>IF(L381="","",L381/1000/1.022)</f>
        <v/>
      </c>
      <c r="J381" t="str">
        <f>IF(M381="","",M381/1000/1.022)</f>
        <v/>
      </c>
      <c r="K381" t="str">
        <f>IF(N381="","",N381/1000/1.022)</f>
        <v/>
      </c>
      <c r="L381" s="6"/>
      <c r="M381" s="7"/>
      <c r="N381"/>
      <c r="P381" s="5" t="s">
        <v>47</v>
      </c>
      <c r="Q381" s="5" t="s">
        <v>48</v>
      </c>
    </row>
    <row r="382" spans="1:17" s="4" customFormat="1">
      <c r="A382" s="3">
        <v>34773</v>
      </c>
      <c r="B382" s="4">
        <v>22.482500000000002</v>
      </c>
      <c r="C382" s="4">
        <v>61.180799999999998</v>
      </c>
      <c r="D382" s="4">
        <v>44</v>
      </c>
      <c r="H382" s="12" t="str">
        <f>IFERROR(LOG10(J382/I382),"")</f>
        <v/>
      </c>
      <c r="I382" t="str">
        <f>IF(L382="","",L382/1000/1.022)</f>
        <v/>
      </c>
      <c r="J382" t="str">
        <f>IF(M382="","",M382/1000/1.022)</f>
        <v/>
      </c>
      <c r="K382">
        <f>IF(N382="","",N382/1000/1.022)</f>
        <v>5.8708414872798432E-7</v>
      </c>
      <c r="L382" s="6"/>
      <c r="M382" s="7"/>
      <c r="N382">
        <v>5.9999999999999995E-4</v>
      </c>
      <c r="P382" s="5" t="s">
        <v>47</v>
      </c>
      <c r="Q382" s="5" t="s">
        <v>48</v>
      </c>
    </row>
    <row r="383" spans="1:17" s="4" customFormat="1">
      <c r="A383" s="3">
        <v>34773</v>
      </c>
      <c r="B383" s="4">
        <v>22.482500000000002</v>
      </c>
      <c r="C383" s="4">
        <v>61.180799999999998</v>
      </c>
      <c r="D383" s="4">
        <v>64</v>
      </c>
      <c r="H383" s="12" t="str">
        <f>IFERROR(LOG10(J383/I383),"")</f>
        <v/>
      </c>
      <c r="I383" t="str">
        <f>IF(L383="","",L383/1000/1.022)</f>
        <v/>
      </c>
      <c r="J383" t="str">
        <f>IF(M383="","",M383/1000/1.022)</f>
        <v/>
      </c>
      <c r="K383" t="str">
        <f>IF(N383="","",N383/1000/1.022)</f>
        <v/>
      </c>
      <c r="L383" s="6"/>
      <c r="M383" s="7"/>
      <c r="N383"/>
      <c r="P383" s="5" t="s">
        <v>47</v>
      </c>
      <c r="Q383" s="5" t="s">
        <v>48</v>
      </c>
    </row>
    <row r="384" spans="1:17" s="4" customFormat="1">
      <c r="A384" s="3">
        <v>34773</v>
      </c>
      <c r="B384" s="4">
        <v>21.836300000000001</v>
      </c>
      <c r="C384" s="4">
        <v>62.404800000000002</v>
      </c>
      <c r="D384" s="4">
        <v>9</v>
      </c>
      <c r="H384" s="12" t="str">
        <f>IFERROR(LOG10(J384/I384),"")</f>
        <v/>
      </c>
      <c r="I384" t="str">
        <f>IF(L384="","",L384/1000/1.022)</f>
        <v/>
      </c>
      <c r="J384" t="str">
        <f>IF(M384="","",M384/1000/1.022)</f>
        <v/>
      </c>
      <c r="K384" t="str">
        <f>IF(N384="","",N384/1000/1.022)</f>
        <v/>
      </c>
      <c r="L384" s="6"/>
      <c r="M384" s="7"/>
      <c r="N384"/>
      <c r="P384" s="5" t="s">
        <v>47</v>
      </c>
      <c r="Q384" s="5" t="s">
        <v>48</v>
      </c>
    </row>
    <row r="385" spans="1:17" s="4" customFormat="1">
      <c r="A385" s="3">
        <v>34773</v>
      </c>
      <c r="B385" s="4">
        <v>21.836300000000001</v>
      </c>
      <c r="C385" s="4">
        <v>62.404800000000002</v>
      </c>
      <c r="D385" s="4">
        <v>16</v>
      </c>
      <c r="H385" s="12" t="str">
        <f>IFERROR(LOG10(J385/I385),"")</f>
        <v/>
      </c>
      <c r="I385" t="str">
        <f>IF(L385="","",L385/1000/1.022)</f>
        <v/>
      </c>
      <c r="J385" t="str">
        <f>IF(M385="","",M385/1000/1.022)</f>
        <v/>
      </c>
      <c r="K385" t="str">
        <f>IF(N385="","",N385/1000/1.022)</f>
        <v/>
      </c>
      <c r="L385" s="6"/>
      <c r="M385" s="7"/>
      <c r="N385"/>
      <c r="P385" s="5" t="s">
        <v>47</v>
      </c>
      <c r="Q385" s="5" t="s">
        <v>48</v>
      </c>
    </row>
    <row r="386" spans="1:17" s="4" customFormat="1">
      <c r="A386" s="3">
        <v>34773</v>
      </c>
      <c r="B386" s="4">
        <v>21.836300000000001</v>
      </c>
      <c r="C386" s="4">
        <v>62.404800000000002</v>
      </c>
      <c r="D386" s="4">
        <v>25</v>
      </c>
      <c r="H386" s="12" t="str">
        <f>IFERROR(LOG10(J386/I386),"")</f>
        <v/>
      </c>
      <c r="I386">
        <f>IF(L386="","",L386/1000/1.022)</f>
        <v>2.13307240704501E-5</v>
      </c>
      <c r="J386" t="str">
        <f>IF(M386="","",M386/1000/1.022)</f>
        <v/>
      </c>
      <c r="K386">
        <f>IF(N386="","",N386/1000/1.022)</f>
        <v>5.5772994129158518E-6</v>
      </c>
      <c r="L386" s="6">
        <v>2.18E-2</v>
      </c>
      <c r="M386" s="7"/>
      <c r="N386">
        <v>5.7000000000000002E-3</v>
      </c>
      <c r="P386" s="5" t="s">
        <v>47</v>
      </c>
      <c r="Q386" s="5" t="s">
        <v>48</v>
      </c>
    </row>
    <row r="387" spans="1:17" s="4" customFormat="1">
      <c r="A387" s="3">
        <v>34773</v>
      </c>
      <c r="B387" s="4">
        <v>21.836300000000001</v>
      </c>
      <c r="C387" s="4">
        <v>62.404800000000002</v>
      </c>
      <c r="D387" s="4">
        <v>35</v>
      </c>
      <c r="H387" s="12" t="str">
        <f>IFERROR(LOG10(J387/I387),"")</f>
        <v/>
      </c>
      <c r="I387" t="str">
        <f>IF(L387="","",L387/1000/1.022)</f>
        <v/>
      </c>
      <c r="J387" t="str">
        <f>IF(M387="","",M387/1000/1.022)</f>
        <v/>
      </c>
      <c r="K387" t="str">
        <f>IF(N387="","",N387/1000/1.022)</f>
        <v/>
      </c>
      <c r="L387" s="6"/>
      <c r="M387" s="7"/>
      <c r="N387"/>
      <c r="P387" s="5" t="s">
        <v>47</v>
      </c>
      <c r="Q387" s="5" t="s">
        <v>48</v>
      </c>
    </row>
    <row r="388" spans="1:17" s="4" customFormat="1">
      <c r="A388" s="3">
        <v>34773</v>
      </c>
      <c r="B388" s="4">
        <v>21.836300000000001</v>
      </c>
      <c r="C388" s="4">
        <v>62.404800000000002</v>
      </c>
      <c r="D388" s="4">
        <v>43</v>
      </c>
      <c r="H388" s="12" t="str">
        <f>IFERROR(LOG10(J388/I388),"")</f>
        <v/>
      </c>
      <c r="I388" t="str">
        <f>IF(L388="","",L388/1000/1.022)</f>
        <v/>
      </c>
      <c r="J388" t="str">
        <f>IF(M388="","",M388/1000/1.022)</f>
        <v/>
      </c>
      <c r="K388" t="str">
        <f>IF(N388="","",N388/1000/1.022)</f>
        <v/>
      </c>
      <c r="L388" s="6"/>
      <c r="M388" s="7"/>
      <c r="N388"/>
      <c r="P388" s="5" t="s">
        <v>47</v>
      </c>
      <c r="Q388" s="5" t="s">
        <v>48</v>
      </c>
    </row>
    <row r="389" spans="1:17" s="4" customFormat="1">
      <c r="A389" s="3">
        <v>34773</v>
      </c>
      <c r="B389" s="4">
        <v>21.836300000000001</v>
      </c>
      <c r="C389" s="4">
        <v>62.404800000000002</v>
      </c>
      <c r="D389" s="4">
        <v>64</v>
      </c>
      <c r="H389" s="12" t="str">
        <f>IFERROR(LOG10(J389/I389),"")</f>
        <v/>
      </c>
      <c r="I389">
        <f>IF(L389="","",L389/1000/1.022)</f>
        <v>7.2407045009784736E-6</v>
      </c>
      <c r="J389" t="str">
        <f>IF(M389="","",M389/1000/1.022)</f>
        <v/>
      </c>
      <c r="K389" t="str">
        <f>IF(N389="","",N389/1000/1.022)</f>
        <v/>
      </c>
      <c r="L389" s="6">
        <v>7.4000000000000003E-3</v>
      </c>
      <c r="M389" s="7"/>
      <c r="N389"/>
      <c r="P389" s="5" t="s">
        <v>47</v>
      </c>
      <c r="Q389" s="5" t="s">
        <v>48</v>
      </c>
    </row>
    <row r="390" spans="1:17" s="4" customFormat="1">
      <c r="A390" s="3">
        <v>34773</v>
      </c>
      <c r="B390" s="4">
        <v>21.836300000000001</v>
      </c>
      <c r="C390" s="4">
        <v>62.404800000000002</v>
      </c>
      <c r="D390" s="4">
        <v>98</v>
      </c>
      <c r="H390" s="12" t="str">
        <f>IFERROR(LOG10(J390/I390),"")</f>
        <v/>
      </c>
      <c r="I390" t="str">
        <f>IF(L390="","",L390/1000/1.022)</f>
        <v/>
      </c>
      <c r="J390" t="str">
        <f>IF(M390="","",M390/1000/1.022)</f>
        <v/>
      </c>
      <c r="K390" t="str">
        <f>IF(N390="","",N390/1000/1.022)</f>
        <v/>
      </c>
      <c r="L390" s="6"/>
      <c r="M390" s="7"/>
      <c r="N390"/>
      <c r="P390" s="5" t="s">
        <v>47</v>
      </c>
      <c r="Q390" s="5" t="s">
        <v>48</v>
      </c>
    </row>
    <row r="391" spans="1:17" s="4" customFormat="1">
      <c r="A391" s="3">
        <v>34773</v>
      </c>
      <c r="B391" s="4">
        <v>21.178799999999999</v>
      </c>
      <c r="C391" s="4">
        <v>63.541800000000002</v>
      </c>
      <c r="D391" s="4">
        <v>3</v>
      </c>
      <c r="H391" s="12" t="str">
        <f>IFERROR(LOG10(J391/I391),"")</f>
        <v/>
      </c>
      <c r="I391" t="str">
        <f>IF(L391="","",L391/1000/1.022)</f>
        <v/>
      </c>
      <c r="J391" t="str">
        <f>IF(M391="","",M391/1000/1.022)</f>
        <v/>
      </c>
      <c r="K391">
        <f>IF(N391="","",N391/1000/1.022)</f>
        <v>1.8786692759295498E-5</v>
      </c>
      <c r="L391" s="6"/>
      <c r="M391" s="7"/>
      <c r="N391">
        <v>1.9199999999999998E-2</v>
      </c>
      <c r="P391" s="5" t="s">
        <v>47</v>
      </c>
      <c r="Q391" s="5" t="s">
        <v>48</v>
      </c>
    </row>
    <row r="392" spans="1:17" s="4" customFormat="1">
      <c r="A392" s="3">
        <v>34773</v>
      </c>
      <c r="B392" s="4">
        <v>21.178799999999999</v>
      </c>
      <c r="C392" s="4">
        <v>63.541800000000002</v>
      </c>
      <c r="D392" s="4">
        <v>7</v>
      </c>
      <c r="H392" s="12" t="str">
        <f>IFERROR(LOG10(J392/I392),"")</f>
        <v/>
      </c>
      <c r="I392">
        <f>IF(L392="","",L392/1000/1.022)</f>
        <v>6.2622309197651663E-6</v>
      </c>
      <c r="J392" t="str">
        <f>IF(M392="","",M392/1000/1.022)</f>
        <v/>
      </c>
      <c r="K392">
        <f>IF(N392="","",N392/1000/1.022)</f>
        <v>2.1428571428571428E-5</v>
      </c>
      <c r="L392" s="6">
        <v>6.4000000000000003E-3</v>
      </c>
      <c r="M392" s="7"/>
      <c r="N392">
        <v>2.1899999999999999E-2</v>
      </c>
      <c r="P392" s="5" t="s">
        <v>47</v>
      </c>
      <c r="Q392" s="5" t="s">
        <v>48</v>
      </c>
    </row>
    <row r="393" spans="1:17" s="4" customFormat="1">
      <c r="A393" s="3">
        <v>34773</v>
      </c>
      <c r="B393" s="4">
        <v>21.178799999999999</v>
      </c>
      <c r="C393" s="4">
        <v>63.541800000000002</v>
      </c>
      <c r="D393" s="4">
        <v>13</v>
      </c>
      <c r="H393" s="12" t="str">
        <f>IFERROR(LOG10(J393/I393),"")</f>
        <v/>
      </c>
      <c r="I393" t="str">
        <f>IF(L393="","",L393/1000/1.022)</f>
        <v/>
      </c>
      <c r="J393" t="str">
        <f>IF(M393="","",M393/1000/1.022)</f>
        <v/>
      </c>
      <c r="K393">
        <f>IF(N393="","",N393/1000/1.022)</f>
        <v>2.416829745596869E-5</v>
      </c>
      <c r="L393" s="6"/>
      <c r="M393" s="7"/>
      <c r="N393">
        <v>2.47E-2</v>
      </c>
      <c r="P393" s="5" t="s">
        <v>47</v>
      </c>
      <c r="Q393" s="5" t="s">
        <v>48</v>
      </c>
    </row>
    <row r="394" spans="1:17" s="4" customFormat="1">
      <c r="A394" s="3">
        <v>34773</v>
      </c>
      <c r="B394" s="4">
        <v>21.178799999999999</v>
      </c>
      <c r="C394" s="4">
        <v>63.541800000000002</v>
      </c>
      <c r="D394" s="4">
        <v>17</v>
      </c>
      <c r="H394" s="12" t="str">
        <f>IFERROR(LOG10(J394/I394),"")</f>
        <v/>
      </c>
      <c r="I394" t="str">
        <f>IF(L394="","",L394/1000/1.022)</f>
        <v/>
      </c>
      <c r="J394" t="str">
        <f>IF(M394="","",M394/1000/1.022)</f>
        <v/>
      </c>
      <c r="K394">
        <f>IF(N394="","",N394/1000/1.022)</f>
        <v>1.4383561643835615E-5</v>
      </c>
      <c r="L394" s="6"/>
      <c r="M394" s="7"/>
      <c r="N394">
        <v>1.47E-2</v>
      </c>
      <c r="P394" s="5" t="s">
        <v>47</v>
      </c>
      <c r="Q394" s="5" t="s">
        <v>48</v>
      </c>
    </row>
    <row r="395" spans="1:17" s="4" customFormat="1">
      <c r="A395" s="3">
        <v>34773</v>
      </c>
      <c r="B395" s="4">
        <v>21.178799999999999</v>
      </c>
      <c r="C395" s="4">
        <v>63.541800000000002</v>
      </c>
      <c r="D395" s="4">
        <v>24</v>
      </c>
      <c r="H395" s="12" t="str">
        <f>IFERROR(LOG10(J395/I395),"")</f>
        <v/>
      </c>
      <c r="I395" t="str">
        <f>IF(L395="","",L395/1000/1.022)</f>
        <v/>
      </c>
      <c r="J395" t="str">
        <f>IF(M395="","",M395/1000/1.022)</f>
        <v/>
      </c>
      <c r="K395">
        <f>IF(N395="","",N395/1000/1.022)</f>
        <v>4.5009784735812136E-6</v>
      </c>
      <c r="L395" s="6"/>
      <c r="M395" s="7"/>
      <c r="N395">
        <v>4.5999999999999999E-3</v>
      </c>
      <c r="P395" s="5" t="s">
        <v>47</v>
      </c>
      <c r="Q395" s="5" t="s">
        <v>48</v>
      </c>
    </row>
    <row r="396" spans="1:17" s="4" customFormat="1">
      <c r="A396" s="3">
        <v>34773</v>
      </c>
      <c r="B396" s="4">
        <v>21.178799999999999</v>
      </c>
      <c r="C396" s="4">
        <v>63.541800000000002</v>
      </c>
      <c r="D396" s="4">
        <v>32</v>
      </c>
      <c r="H396" s="12" t="str">
        <f>IFERROR(LOG10(J396/I396),"")</f>
        <v/>
      </c>
      <c r="I396">
        <f>IF(L396="","",L396/1000/1.022)</f>
        <v>2.8375733855185909E-6</v>
      </c>
      <c r="J396" t="str">
        <f>IF(M396="","",M396/1000/1.022)</f>
        <v/>
      </c>
      <c r="K396">
        <f>IF(N396="","",N396/1000/1.022)</f>
        <v>2.5440313111545986E-6</v>
      </c>
      <c r="L396" s="6">
        <v>2.8999999999999998E-3</v>
      </c>
      <c r="M396" s="7"/>
      <c r="N396">
        <v>2.5999999999999999E-3</v>
      </c>
      <c r="P396" s="5" t="s">
        <v>47</v>
      </c>
      <c r="Q396" s="5" t="s">
        <v>48</v>
      </c>
    </row>
    <row r="397" spans="1:17" s="4" customFormat="1">
      <c r="A397" s="3">
        <v>34773</v>
      </c>
      <c r="B397" s="4">
        <v>21.178799999999999</v>
      </c>
      <c r="C397" s="4">
        <v>63.541800000000002</v>
      </c>
      <c r="D397" s="4">
        <v>44</v>
      </c>
      <c r="H397" s="12" t="str">
        <f>IFERROR(LOG10(J397/I397),"")</f>
        <v/>
      </c>
      <c r="I397" t="str">
        <f>IF(L397="","",L397/1000/1.022)</f>
        <v/>
      </c>
      <c r="J397" t="str">
        <f>IF(M397="","",M397/1000/1.022)</f>
        <v/>
      </c>
      <c r="K397">
        <f>IF(N397="","",N397/1000/1.022)</f>
        <v>5.8708414872798432E-7</v>
      </c>
      <c r="L397" s="6"/>
      <c r="M397" s="7"/>
      <c r="N397">
        <v>5.9999999999999995E-4</v>
      </c>
      <c r="P397" s="5" t="s">
        <v>47</v>
      </c>
      <c r="Q397" s="5" t="s">
        <v>48</v>
      </c>
    </row>
    <row r="398" spans="1:17" s="4" customFormat="1">
      <c r="A398" s="3">
        <v>34773</v>
      </c>
      <c r="B398" s="4">
        <v>20.564399999999999</v>
      </c>
      <c r="C398" s="4">
        <v>64.655100000000004</v>
      </c>
      <c r="D398" s="4">
        <v>3</v>
      </c>
      <c r="H398" s="12" t="str">
        <f>IFERROR(LOG10(J398/I398),"")</f>
        <v/>
      </c>
      <c r="I398" t="str">
        <f>IF(L398="","",L398/1000/1.022)</f>
        <v/>
      </c>
      <c r="J398" t="str">
        <f>IF(M398="","",M398/1000/1.022)</f>
        <v/>
      </c>
      <c r="K398" t="str">
        <f>IF(N398="","",N398/1000/1.022)</f>
        <v/>
      </c>
      <c r="L398" s="6"/>
      <c r="M398" s="7"/>
      <c r="N398"/>
      <c r="P398" s="5" t="s">
        <v>47</v>
      </c>
      <c r="Q398" s="5" t="s">
        <v>48</v>
      </c>
    </row>
    <row r="399" spans="1:17" s="4" customFormat="1">
      <c r="A399" s="3">
        <v>34773</v>
      </c>
      <c r="B399" s="4">
        <v>20.564399999999999</v>
      </c>
      <c r="C399" s="4">
        <v>64.655100000000004</v>
      </c>
      <c r="D399" s="4">
        <v>8</v>
      </c>
      <c r="H399" s="12" t="str">
        <f>IFERROR(LOG10(J399/I399),"")</f>
        <v/>
      </c>
      <c r="I399" t="str">
        <f>IF(L399="","",L399/1000/1.022)</f>
        <v/>
      </c>
      <c r="J399" t="str">
        <f>IF(M399="","",M399/1000/1.022)</f>
        <v/>
      </c>
      <c r="K399">
        <f>IF(N399="","",N399/1000/1.022)</f>
        <v>1.8982387475538162E-5</v>
      </c>
      <c r="L399" s="6"/>
      <c r="M399" s="7"/>
      <c r="N399">
        <v>1.9400000000000001E-2</v>
      </c>
      <c r="P399" s="5" t="s">
        <v>47</v>
      </c>
      <c r="Q399" s="5" t="s">
        <v>48</v>
      </c>
    </row>
    <row r="400" spans="1:17" s="4" customFormat="1">
      <c r="A400" s="3">
        <v>34773</v>
      </c>
      <c r="B400" s="4">
        <v>20.564399999999999</v>
      </c>
      <c r="C400" s="4">
        <v>64.655100000000004</v>
      </c>
      <c r="D400" s="4">
        <v>12</v>
      </c>
      <c r="H400" s="12" t="str">
        <f>IFERROR(LOG10(J400/I400),"")</f>
        <v/>
      </c>
      <c r="I400" t="str">
        <f>IF(L400="","",L400/1000/1.022)</f>
        <v/>
      </c>
      <c r="J400" t="str">
        <f>IF(M400="","",M400/1000/1.022)</f>
        <v/>
      </c>
      <c r="K400" t="str">
        <f>IF(N400="","",N400/1000/1.022)</f>
        <v/>
      </c>
      <c r="L400" s="6"/>
      <c r="M400" s="7"/>
      <c r="N400"/>
      <c r="P400" s="5" t="s">
        <v>47</v>
      </c>
      <c r="Q400" s="5" t="s">
        <v>48</v>
      </c>
    </row>
    <row r="401" spans="1:17" s="4" customFormat="1">
      <c r="A401" s="3">
        <v>34773</v>
      </c>
      <c r="B401" s="4">
        <v>20.564399999999999</v>
      </c>
      <c r="C401" s="4">
        <v>64.655100000000004</v>
      </c>
      <c r="D401" s="4">
        <v>18</v>
      </c>
      <c r="H401" s="12" t="str">
        <f>IFERROR(LOG10(J401/I401),"")</f>
        <v/>
      </c>
      <c r="I401" t="str">
        <f>IF(L401="","",L401/1000/1.022)</f>
        <v/>
      </c>
      <c r="J401" t="str">
        <f>IF(M401="","",M401/1000/1.022)</f>
        <v/>
      </c>
      <c r="K401" t="str">
        <f>IF(N401="","",N401/1000/1.022)</f>
        <v/>
      </c>
      <c r="L401" s="6"/>
      <c r="M401" s="7"/>
      <c r="N401"/>
      <c r="P401" s="5" t="s">
        <v>47</v>
      </c>
      <c r="Q401" s="5" t="s">
        <v>48</v>
      </c>
    </row>
    <row r="402" spans="1:17" s="4" customFormat="1">
      <c r="A402" s="3">
        <v>34773</v>
      </c>
      <c r="B402" s="4">
        <v>20.564399999999999</v>
      </c>
      <c r="C402" s="4">
        <v>64.655100000000004</v>
      </c>
      <c r="D402" s="4">
        <v>26</v>
      </c>
      <c r="H402" s="12" t="str">
        <f>IFERROR(LOG10(J402/I402),"")</f>
        <v/>
      </c>
      <c r="I402" t="str">
        <f>IF(L402="","",L402/1000/1.022)</f>
        <v/>
      </c>
      <c r="J402" t="str">
        <f>IF(M402="","",M402/1000/1.022)</f>
        <v/>
      </c>
      <c r="K402" t="str">
        <f>IF(N402="","",N402/1000/1.022)</f>
        <v/>
      </c>
      <c r="L402" s="6"/>
      <c r="M402" s="7"/>
      <c r="N402"/>
      <c r="P402" s="5" t="s">
        <v>47</v>
      </c>
      <c r="Q402" s="5" t="s">
        <v>48</v>
      </c>
    </row>
    <row r="403" spans="1:17" s="4" customFormat="1">
      <c r="A403" s="3">
        <v>34773</v>
      </c>
      <c r="B403" s="4">
        <v>20.564399999999999</v>
      </c>
      <c r="C403" s="4">
        <v>64.655100000000004</v>
      </c>
      <c r="D403" s="4">
        <v>32</v>
      </c>
      <c r="H403" s="12" t="str">
        <f>IFERROR(LOG10(J403/I403),"")</f>
        <v/>
      </c>
      <c r="I403" t="str">
        <f>IF(L403="","",L403/1000/1.022)</f>
        <v/>
      </c>
      <c r="J403" t="str">
        <f>IF(M403="","",M403/1000/1.022)</f>
        <v/>
      </c>
      <c r="K403" t="str">
        <f>IF(N403="","",N403/1000/1.022)</f>
        <v/>
      </c>
      <c r="L403" s="6"/>
      <c r="M403" s="7"/>
      <c r="N403"/>
      <c r="P403" s="5" t="s">
        <v>47</v>
      </c>
      <c r="Q403" s="5" t="s">
        <v>48</v>
      </c>
    </row>
    <row r="404" spans="1:17" s="4" customFormat="1">
      <c r="A404" s="3">
        <v>34773</v>
      </c>
      <c r="B404" s="4">
        <v>20.564399999999999</v>
      </c>
      <c r="C404" s="4">
        <v>64.655100000000004</v>
      </c>
      <c r="D404" s="4">
        <v>45</v>
      </c>
      <c r="H404" s="12" t="str">
        <f>IFERROR(LOG10(J404/I404),"")</f>
        <v/>
      </c>
      <c r="I404" t="str">
        <f>IF(L404="","",L404/1000/1.022)</f>
        <v/>
      </c>
      <c r="J404" t="str">
        <f>IF(M404="","",M404/1000/1.022)</f>
        <v/>
      </c>
      <c r="K404" t="str">
        <f>IF(N404="","",N404/1000/1.022)</f>
        <v/>
      </c>
      <c r="L404" s="6"/>
      <c r="M404" s="7"/>
      <c r="N404"/>
      <c r="P404" s="5" t="s">
        <v>47</v>
      </c>
      <c r="Q404" s="5" t="s">
        <v>48</v>
      </c>
    </row>
    <row r="405" spans="1:17" s="4" customFormat="1">
      <c r="A405" s="3">
        <v>34773</v>
      </c>
      <c r="B405" s="4">
        <v>20.564399999999999</v>
      </c>
      <c r="C405" s="4">
        <v>64.655100000000004</v>
      </c>
      <c r="D405" s="4">
        <v>84</v>
      </c>
      <c r="H405" s="12" t="str">
        <f>IFERROR(LOG10(J405/I405),"")</f>
        <v/>
      </c>
      <c r="I405" t="str">
        <f>IF(L405="","",L405/1000/1.022)</f>
        <v/>
      </c>
      <c r="J405" t="str">
        <f>IF(M405="","",M405/1000/1.022)</f>
        <v/>
      </c>
      <c r="K405" t="str">
        <f>IF(N405="","",N405/1000/1.022)</f>
        <v/>
      </c>
      <c r="L405" s="6"/>
      <c r="M405" s="7"/>
      <c r="N405"/>
      <c r="P405" s="5" t="s">
        <v>47</v>
      </c>
      <c r="Q405" s="5" t="s">
        <v>48</v>
      </c>
    </row>
    <row r="406" spans="1:17" s="4" customFormat="1">
      <c r="A406" s="3">
        <v>34773</v>
      </c>
      <c r="B406" s="4">
        <v>19.8766</v>
      </c>
      <c r="C406" s="4">
        <v>65.884</v>
      </c>
      <c r="D406" s="4">
        <v>2</v>
      </c>
      <c r="H406" s="12" t="str">
        <f>IFERROR(LOG10(J406/I406),"")</f>
        <v/>
      </c>
      <c r="I406" t="str">
        <f>IF(L406="","",L406/1000/1.022)</f>
        <v/>
      </c>
      <c r="J406" t="str">
        <f>IF(M406="","",M406/1000/1.022)</f>
        <v/>
      </c>
      <c r="K406">
        <f>IF(N406="","",N406/1000/1.022)</f>
        <v>3.7181996086105673E-6</v>
      </c>
      <c r="L406" s="6"/>
      <c r="M406" s="7"/>
      <c r="N406">
        <v>3.8E-3</v>
      </c>
      <c r="P406" s="5" t="s">
        <v>47</v>
      </c>
      <c r="Q406" s="5" t="s">
        <v>48</v>
      </c>
    </row>
    <row r="407" spans="1:17" s="4" customFormat="1">
      <c r="A407" s="3">
        <v>34773</v>
      </c>
      <c r="B407" s="4">
        <v>19.8766</v>
      </c>
      <c r="C407" s="4">
        <v>65.884</v>
      </c>
      <c r="D407" s="4">
        <v>8</v>
      </c>
      <c r="H407" s="12" t="str">
        <f>IFERROR(LOG10(J407/I407),"")</f>
        <v/>
      </c>
      <c r="I407">
        <f>IF(L407="","",L407/1000/1.022)</f>
        <v>2.3483365949119373E-6</v>
      </c>
      <c r="J407" t="str">
        <f>IF(M407="","",M407/1000/1.022)</f>
        <v/>
      </c>
      <c r="K407">
        <f>IF(N407="","",N407/1000/1.022)</f>
        <v>1.1448140900195694E-5</v>
      </c>
      <c r="L407" s="6">
        <v>2.3999999999999998E-3</v>
      </c>
      <c r="M407" s="7"/>
      <c r="N407">
        <v>1.17E-2</v>
      </c>
      <c r="P407" s="5" t="s">
        <v>47</v>
      </c>
      <c r="Q407" s="5" t="s">
        <v>48</v>
      </c>
    </row>
    <row r="408" spans="1:17" s="4" customFormat="1">
      <c r="A408" s="3">
        <v>34773</v>
      </c>
      <c r="B408" s="4">
        <v>19.8766</v>
      </c>
      <c r="C408" s="4">
        <v>65.884</v>
      </c>
      <c r="D408" s="4">
        <v>12</v>
      </c>
      <c r="H408" s="12" t="str">
        <f>IFERROR(LOG10(J408/I408),"")</f>
        <v/>
      </c>
      <c r="I408" t="str">
        <f>IF(L408="","",L408/1000/1.022)</f>
        <v/>
      </c>
      <c r="J408" t="str">
        <f>IF(M408="","",M408/1000/1.022)</f>
        <v/>
      </c>
      <c r="K408">
        <f>IF(N408="","",N408/1000/1.022)</f>
        <v>1.1643835616438357E-5</v>
      </c>
      <c r="L408" s="6"/>
      <c r="M408" s="7"/>
      <c r="N408">
        <v>1.1900000000000001E-2</v>
      </c>
      <c r="P408" s="5" t="s">
        <v>47</v>
      </c>
      <c r="Q408" s="5" t="s">
        <v>48</v>
      </c>
    </row>
    <row r="409" spans="1:17" s="4" customFormat="1">
      <c r="A409" s="3">
        <v>34773</v>
      </c>
      <c r="B409" s="4">
        <v>19.8766</v>
      </c>
      <c r="C409" s="4">
        <v>65.884</v>
      </c>
      <c r="D409" s="4">
        <v>18</v>
      </c>
      <c r="H409" s="12" t="str">
        <f>IFERROR(LOG10(J409/I409),"")</f>
        <v/>
      </c>
      <c r="I409" t="str">
        <f>IF(L409="","",L409/1000/1.022)</f>
        <v/>
      </c>
      <c r="J409" t="str">
        <f>IF(M409="","",M409/1000/1.022)</f>
        <v/>
      </c>
      <c r="K409">
        <f>IF(N409="","",N409/1000/1.022)</f>
        <v>1.2720156555772993E-5</v>
      </c>
      <c r="L409" s="6"/>
      <c r="M409" s="7"/>
      <c r="N409">
        <v>1.2999999999999999E-2</v>
      </c>
      <c r="P409" s="5" t="s">
        <v>47</v>
      </c>
      <c r="Q409" s="5" t="s">
        <v>48</v>
      </c>
    </row>
    <row r="410" spans="1:17" s="4" customFormat="1">
      <c r="A410" s="3">
        <v>34773</v>
      </c>
      <c r="B410" s="4">
        <v>19.8766</v>
      </c>
      <c r="C410" s="4">
        <v>65.884</v>
      </c>
      <c r="D410" s="4">
        <v>26</v>
      </c>
      <c r="H410" s="12" t="str">
        <f>IFERROR(LOG10(J410/I410),"")</f>
        <v/>
      </c>
      <c r="I410" t="str">
        <f>IF(L410="","",L410/1000/1.022)</f>
        <v/>
      </c>
      <c r="J410" t="str">
        <f>IF(M410="","",M410/1000/1.022)</f>
        <v/>
      </c>
      <c r="K410">
        <f>IF(N410="","",N410/1000/1.022)</f>
        <v>3.6203522504892368E-6</v>
      </c>
      <c r="L410" s="6"/>
      <c r="M410" s="7"/>
      <c r="N410">
        <v>3.7000000000000002E-3</v>
      </c>
      <c r="P410" s="5" t="s">
        <v>47</v>
      </c>
      <c r="Q410" s="5" t="s">
        <v>48</v>
      </c>
    </row>
    <row r="411" spans="1:17" s="4" customFormat="1">
      <c r="A411" s="3">
        <v>34773</v>
      </c>
      <c r="B411" s="4">
        <v>19.8766</v>
      </c>
      <c r="C411" s="4">
        <v>65.884</v>
      </c>
      <c r="D411" s="4">
        <v>30</v>
      </c>
      <c r="H411" s="12" t="str">
        <f>IFERROR(LOG10(J411/I411),"")</f>
        <v/>
      </c>
      <c r="I411">
        <f>IF(L411="","",L411/1000/1.022)</f>
        <v>1.4677103718199609E-6</v>
      </c>
      <c r="J411" t="str">
        <f>IF(M411="","",M411/1000/1.022)</f>
        <v/>
      </c>
      <c r="K411">
        <f>IF(N411="","",N411/1000/1.022)</f>
        <v>2.6418786692759295E-6</v>
      </c>
      <c r="L411" s="6">
        <v>1.5E-3</v>
      </c>
      <c r="M411" s="7"/>
      <c r="N411">
        <v>2.7000000000000001E-3</v>
      </c>
      <c r="P411" s="5" t="s">
        <v>47</v>
      </c>
      <c r="Q411" s="5" t="s">
        <v>48</v>
      </c>
    </row>
    <row r="412" spans="1:17" s="4" customFormat="1">
      <c r="A412" s="3">
        <v>34773</v>
      </c>
      <c r="B412" s="4">
        <v>19.8766</v>
      </c>
      <c r="C412" s="4">
        <v>65.884</v>
      </c>
      <c r="D412" s="4">
        <v>43</v>
      </c>
      <c r="H412" s="12" t="str">
        <f>IFERROR(LOG10(J412/I412),"")</f>
        <v/>
      </c>
      <c r="I412" t="str">
        <f>IF(L412="","",L412/1000/1.022)</f>
        <v/>
      </c>
      <c r="J412" t="str">
        <f>IF(M412="","",M412/1000/1.022)</f>
        <v/>
      </c>
      <c r="K412">
        <f>IF(N412="","",N412/1000/1.022)</f>
        <v>1.6634050880626221E-6</v>
      </c>
      <c r="L412" s="6"/>
      <c r="M412" s="7"/>
      <c r="N412">
        <v>1.6999999999999999E-3</v>
      </c>
      <c r="P412" s="5" t="s">
        <v>47</v>
      </c>
      <c r="Q412" s="5" t="s">
        <v>48</v>
      </c>
    </row>
    <row r="413" spans="1:17" s="4" customFormat="1">
      <c r="A413" s="3">
        <v>34773</v>
      </c>
      <c r="B413" s="4">
        <v>19.8766</v>
      </c>
      <c r="C413" s="4">
        <v>65.884</v>
      </c>
      <c r="D413" s="4">
        <v>66</v>
      </c>
      <c r="H413" s="12" t="str">
        <f>IFERROR(LOG10(J413/I413),"")</f>
        <v/>
      </c>
      <c r="I413" t="str">
        <f>IF(L413="","",L413/1000/1.022)</f>
        <v/>
      </c>
      <c r="J413" t="str">
        <f>IF(M413="","",M413/1000/1.022)</f>
        <v/>
      </c>
      <c r="K413">
        <f>IF(N413="","",N413/1000/1.022)</f>
        <v>3.913894324853229E-7</v>
      </c>
      <c r="L413" s="6"/>
      <c r="M413" s="7"/>
      <c r="N413">
        <v>4.0000000000000002E-4</v>
      </c>
      <c r="P413" s="5" t="s">
        <v>47</v>
      </c>
      <c r="Q413" s="5" t="s">
        <v>48</v>
      </c>
    </row>
    <row r="414" spans="1:17" s="4" customFormat="1">
      <c r="A414" s="3">
        <v>34773</v>
      </c>
      <c r="B414" s="4">
        <v>19.167300000000001</v>
      </c>
      <c r="C414" s="4">
        <v>67.166399999999996</v>
      </c>
      <c r="D414" s="4">
        <v>3</v>
      </c>
      <c r="H414" s="12" t="str">
        <f>IFERROR(LOG10(J414/I414),"")</f>
        <v/>
      </c>
      <c r="I414" t="str">
        <f>IF(L414="","",L414/1000/1.022)</f>
        <v/>
      </c>
      <c r="J414" t="str">
        <f>IF(M414="","",M414/1000/1.022)</f>
        <v/>
      </c>
      <c r="K414">
        <f>IF(N414="","",N414/1000/1.022)</f>
        <v>7.4363992172211346E-6</v>
      </c>
      <c r="L414" s="6"/>
      <c r="M414" s="7"/>
      <c r="N414">
        <v>7.6E-3</v>
      </c>
      <c r="P414" s="5" t="s">
        <v>47</v>
      </c>
      <c r="Q414" s="5" t="s">
        <v>48</v>
      </c>
    </row>
    <row r="415" spans="1:17" s="4" customFormat="1">
      <c r="A415" s="3">
        <v>34773</v>
      </c>
      <c r="B415" s="4">
        <v>19.167300000000001</v>
      </c>
      <c r="C415" s="4">
        <v>67.166399999999996</v>
      </c>
      <c r="D415" s="4">
        <v>10</v>
      </c>
      <c r="H415" s="12" t="str">
        <f>IFERROR(LOG10(J415/I415),"")</f>
        <v/>
      </c>
      <c r="I415">
        <f>IF(L415="","",L415/1000/1.022)</f>
        <v>8.0234833659491199E-6</v>
      </c>
      <c r="J415" t="str">
        <f>IF(M415="","",M415/1000/1.022)</f>
        <v/>
      </c>
      <c r="K415">
        <f>IF(N415="","",N415/1000/1.022)</f>
        <v>1.4285714285714285E-5</v>
      </c>
      <c r="L415" s="6">
        <v>8.2000000000000007E-3</v>
      </c>
      <c r="M415" s="7"/>
      <c r="N415">
        <v>1.46E-2</v>
      </c>
      <c r="P415" s="5" t="s">
        <v>47</v>
      </c>
      <c r="Q415" s="5" t="s">
        <v>48</v>
      </c>
    </row>
    <row r="416" spans="1:17" s="4" customFormat="1">
      <c r="A416" s="3">
        <v>34773</v>
      </c>
      <c r="B416" s="4">
        <v>19.167300000000001</v>
      </c>
      <c r="C416" s="4">
        <v>67.166399999999996</v>
      </c>
      <c r="D416" s="4">
        <v>16</v>
      </c>
      <c r="H416" s="12" t="str">
        <f>IFERROR(LOG10(J416/I416),"")</f>
        <v/>
      </c>
      <c r="I416" t="str">
        <f>IF(L416="","",L416/1000/1.022)</f>
        <v/>
      </c>
      <c r="J416" t="str">
        <f>IF(M416="","",M416/1000/1.022)</f>
        <v/>
      </c>
      <c r="K416">
        <f>IF(N416="","",N416/1000/1.022)</f>
        <v>2.6516634050880625E-5</v>
      </c>
      <c r="L416" s="6"/>
      <c r="M416" s="7"/>
      <c r="N416">
        <v>2.7099999999999999E-2</v>
      </c>
      <c r="P416" s="5" t="s">
        <v>47</v>
      </c>
      <c r="Q416" s="5" t="s">
        <v>48</v>
      </c>
    </row>
    <row r="417" spans="1:17" s="4" customFormat="1">
      <c r="A417" s="3">
        <v>34773</v>
      </c>
      <c r="B417" s="4">
        <v>19.167300000000001</v>
      </c>
      <c r="C417" s="4">
        <v>67.166399999999996</v>
      </c>
      <c r="D417" s="4">
        <v>23</v>
      </c>
      <c r="H417" s="12" t="str">
        <f>IFERROR(LOG10(J417/I417),"")</f>
        <v/>
      </c>
      <c r="I417" t="str">
        <f>IF(L417="","",L417/1000/1.022)</f>
        <v/>
      </c>
      <c r="J417" t="str">
        <f>IF(M417="","",M417/1000/1.022)</f>
        <v/>
      </c>
      <c r="K417">
        <f>IF(N417="","",N417/1000/1.022)</f>
        <v>3.0528375733855185E-5</v>
      </c>
      <c r="L417" s="6"/>
      <c r="M417" s="7"/>
      <c r="N417">
        <v>3.1199999999999999E-2</v>
      </c>
      <c r="P417" s="5" t="s">
        <v>47</v>
      </c>
      <c r="Q417" s="5" t="s">
        <v>48</v>
      </c>
    </row>
    <row r="418" spans="1:17" s="4" customFormat="1">
      <c r="A418" s="3">
        <v>34773</v>
      </c>
      <c r="B418" s="4">
        <v>19.167300000000001</v>
      </c>
      <c r="C418" s="4">
        <v>67.166399999999996</v>
      </c>
      <c r="D418" s="4">
        <v>31</v>
      </c>
      <c r="H418" s="12" t="str">
        <f>IFERROR(LOG10(J418/I418),"")</f>
        <v/>
      </c>
      <c r="I418" t="str">
        <f>IF(L418="","",L418/1000/1.022)</f>
        <v/>
      </c>
      <c r="J418" t="str">
        <f>IF(M418="","",M418/1000/1.022)</f>
        <v/>
      </c>
      <c r="K418" t="str">
        <f>IF(N418="","",N418/1000/1.022)</f>
        <v/>
      </c>
      <c r="L418" s="6"/>
      <c r="M418" s="7"/>
      <c r="N418"/>
      <c r="P418" s="5" t="s">
        <v>47</v>
      </c>
      <c r="Q418" s="5" t="s">
        <v>48</v>
      </c>
    </row>
    <row r="419" spans="1:17" s="4" customFormat="1">
      <c r="A419" s="3">
        <v>34773</v>
      </c>
      <c r="B419" s="4">
        <v>19.167300000000001</v>
      </c>
      <c r="C419" s="4">
        <v>67.166399999999996</v>
      </c>
      <c r="D419" s="4">
        <v>39</v>
      </c>
      <c r="H419" s="12" t="str">
        <f>IFERROR(LOG10(J419/I419),"")</f>
        <v/>
      </c>
      <c r="I419" t="str">
        <f>IF(L419="","",L419/1000/1.022)</f>
        <v/>
      </c>
      <c r="J419" t="str">
        <f>IF(M419="","",M419/1000/1.022)</f>
        <v/>
      </c>
      <c r="K419">
        <f>IF(N419="","",N419/1000/1.022)</f>
        <v>6.5557729941291582E-6</v>
      </c>
      <c r="L419" s="6"/>
      <c r="M419" s="7"/>
      <c r="N419">
        <v>6.7000000000000002E-3</v>
      </c>
      <c r="P419" s="5" t="s">
        <v>47</v>
      </c>
      <c r="Q419" s="5" t="s">
        <v>48</v>
      </c>
    </row>
    <row r="420" spans="1:17" s="4" customFormat="1">
      <c r="A420" s="3">
        <v>34773</v>
      </c>
      <c r="B420" s="4">
        <v>19.167300000000001</v>
      </c>
      <c r="C420" s="4">
        <v>67.166399999999996</v>
      </c>
      <c r="D420" s="4">
        <v>56</v>
      </c>
      <c r="H420" s="12" t="str">
        <f>IFERROR(LOG10(J420/I420),"")</f>
        <v/>
      </c>
      <c r="I420" t="str">
        <f>IF(L420="","",L420/1000/1.022)</f>
        <v/>
      </c>
      <c r="J420" t="str">
        <f>IF(M420="","",M420/1000/1.022)</f>
        <v/>
      </c>
      <c r="K420" t="str">
        <f>IF(N420="","",N420/1000/1.022)</f>
        <v/>
      </c>
      <c r="L420" s="6"/>
      <c r="M420" s="7"/>
      <c r="N420"/>
      <c r="P420" s="5" t="s">
        <v>47</v>
      </c>
      <c r="Q420" s="5" t="s">
        <v>48</v>
      </c>
    </row>
    <row r="421" spans="1:17" s="4" customFormat="1">
      <c r="A421" s="3">
        <v>34773</v>
      </c>
      <c r="B421" s="4">
        <v>19.167300000000001</v>
      </c>
      <c r="C421" s="4">
        <v>67.166399999999996</v>
      </c>
      <c r="D421" s="4">
        <v>85</v>
      </c>
      <c r="H421" s="12" t="str">
        <f>IFERROR(LOG10(J421/I421),"")</f>
        <v/>
      </c>
      <c r="I421" t="str">
        <f>IF(L421="","",L421/1000/1.022)</f>
        <v/>
      </c>
      <c r="J421" t="str">
        <f>IF(M421="","",M421/1000/1.022)</f>
        <v/>
      </c>
      <c r="K421">
        <f>IF(N421="","",N421/1000/1.022)</f>
        <v>2.1526418786692759E-6</v>
      </c>
      <c r="L421" s="6"/>
      <c r="M421" s="7"/>
      <c r="N421">
        <v>2.2000000000000001E-3</v>
      </c>
      <c r="P421" s="5" t="s">
        <v>47</v>
      </c>
      <c r="Q421" s="5" t="s">
        <v>48</v>
      </c>
    </row>
    <row r="422" spans="1:17" s="4" customFormat="1">
      <c r="A422" s="3">
        <v>34773</v>
      </c>
      <c r="B422" s="4">
        <v>19.1541</v>
      </c>
      <c r="C422" s="4">
        <v>67.135300000000001</v>
      </c>
      <c r="D422" s="4">
        <v>3</v>
      </c>
      <c r="H422" s="12" t="str">
        <f>IFERROR(LOG10(J422/I422),"")</f>
        <v/>
      </c>
      <c r="I422" t="str">
        <f>IF(L422="","",L422/1000/1.022)</f>
        <v/>
      </c>
      <c r="J422" t="str">
        <f>IF(M422="","",M422/1000/1.022)</f>
        <v/>
      </c>
      <c r="K422" t="str">
        <f>IF(N422="","",N422/1000/1.022)</f>
        <v/>
      </c>
      <c r="L422" s="6"/>
      <c r="M422" s="7"/>
      <c r="N422"/>
      <c r="P422" s="5" t="s">
        <v>47</v>
      </c>
      <c r="Q422" s="5" t="s">
        <v>48</v>
      </c>
    </row>
    <row r="423" spans="1:17" s="4" customFormat="1">
      <c r="A423" s="3">
        <v>34773</v>
      </c>
      <c r="B423" s="4">
        <v>19.1541</v>
      </c>
      <c r="C423" s="4">
        <v>67.135300000000001</v>
      </c>
      <c r="D423" s="4">
        <v>10</v>
      </c>
      <c r="H423" s="12" t="str">
        <f>IFERROR(LOG10(J423/I423),"")</f>
        <v/>
      </c>
      <c r="I423" t="str">
        <f>IF(L423="","",L423/1000/1.022)</f>
        <v/>
      </c>
      <c r="J423" t="str">
        <f>IF(M423="","",M423/1000/1.022)</f>
        <v/>
      </c>
      <c r="K423" t="str">
        <f>IF(N423="","",N423/1000/1.022)</f>
        <v/>
      </c>
      <c r="L423" s="6"/>
      <c r="M423" s="7"/>
      <c r="N423"/>
      <c r="P423" s="5" t="s">
        <v>47</v>
      </c>
      <c r="Q423" s="5" t="s">
        <v>48</v>
      </c>
    </row>
    <row r="424" spans="1:17" s="4" customFormat="1">
      <c r="A424" s="3">
        <v>34773</v>
      </c>
      <c r="B424" s="4">
        <v>19.1541</v>
      </c>
      <c r="C424" s="4">
        <v>67.135300000000001</v>
      </c>
      <c r="D424" s="4">
        <v>16</v>
      </c>
      <c r="H424" s="12" t="str">
        <f>IFERROR(LOG10(J424/I424),"")</f>
        <v/>
      </c>
      <c r="I424" t="str">
        <f>IF(L424="","",L424/1000/1.022)</f>
        <v/>
      </c>
      <c r="J424" t="str">
        <f>IF(M424="","",M424/1000/1.022)</f>
        <v/>
      </c>
      <c r="K424" t="str">
        <f>IF(N424="","",N424/1000/1.022)</f>
        <v/>
      </c>
      <c r="L424" s="6"/>
      <c r="M424" s="7"/>
      <c r="N424"/>
      <c r="P424" s="5" t="s">
        <v>47</v>
      </c>
      <c r="Q424" s="5" t="s">
        <v>48</v>
      </c>
    </row>
    <row r="425" spans="1:17" s="4" customFormat="1">
      <c r="A425" s="3">
        <v>34773</v>
      </c>
      <c r="B425" s="4">
        <v>19.1541</v>
      </c>
      <c r="C425" s="4">
        <v>67.135300000000001</v>
      </c>
      <c r="D425" s="4">
        <v>23</v>
      </c>
      <c r="H425" s="12" t="str">
        <f>IFERROR(LOG10(J425/I425),"")</f>
        <v/>
      </c>
      <c r="I425" t="str">
        <f>IF(L425="","",L425/1000/1.022)</f>
        <v/>
      </c>
      <c r="J425" t="str">
        <f>IF(M425="","",M425/1000/1.022)</f>
        <v/>
      </c>
      <c r="K425" t="str">
        <f>IF(N425="","",N425/1000/1.022)</f>
        <v/>
      </c>
      <c r="L425" s="6"/>
      <c r="M425" s="7"/>
      <c r="N425"/>
      <c r="P425" s="5" t="s">
        <v>47</v>
      </c>
      <c r="Q425" s="5" t="s">
        <v>48</v>
      </c>
    </row>
    <row r="426" spans="1:17" s="4" customFormat="1">
      <c r="A426" s="3">
        <v>34773</v>
      </c>
      <c r="B426" s="4">
        <v>19.1541</v>
      </c>
      <c r="C426" s="4">
        <v>67.135300000000001</v>
      </c>
      <c r="D426" s="4">
        <v>31</v>
      </c>
      <c r="H426" s="12" t="str">
        <f>IFERROR(LOG10(J426/I426),"")</f>
        <v/>
      </c>
      <c r="I426" t="str">
        <f>IF(L426="","",L426/1000/1.022)</f>
        <v/>
      </c>
      <c r="J426" t="str">
        <f>IF(M426="","",M426/1000/1.022)</f>
        <v/>
      </c>
      <c r="K426" t="str">
        <f>IF(N426="","",N426/1000/1.022)</f>
        <v/>
      </c>
      <c r="L426" s="6"/>
      <c r="M426" s="7"/>
      <c r="N426"/>
      <c r="P426" s="5" t="s">
        <v>47</v>
      </c>
      <c r="Q426" s="5" t="s">
        <v>48</v>
      </c>
    </row>
    <row r="427" spans="1:17" s="4" customFormat="1">
      <c r="A427" s="3">
        <v>34773</v>
      </c>
      <c r="B427" s="4">
        <v>19.1541</v>
      </c>
      <c r="C427" s="4">
        <v>67.135300000000001</v>
      </c>
      <c r="D427" s="4">
        <v>39</v>
      </c>
      <c r="H427" s="12" t="str">
        <f>IFERROR(LOG10(J427/I427),"")</f>
        <v/>
      </c>
      <c r="I427" t="str">
        <f>IF(L427="","",L427/1000/1.022)</f>
        <v/>
      </c>
      <c r="J427" t="str">
        <f>IF(M427="","",M427/1000/1.022)</f>
        <v/>
      </c>
      <c r="K427" t="str">
        <f>IF(N427="","",N427/1000/1.022)</f>
        <v/>
      </c>
      <c r="L427" s="6"/>
      <c r="M427" s="7"/>
      <c r="N427"/>
      <c r="P427" s="5" t="s">
        <v>47</v>
      </c>
      <c r="Q427" s="5" t="s">
        <v>48</v>
      </c>
    </row>
    <row r="428" spans="1:17" s="4" customFormat="1">
      <c r="A428" s="3">
        <v>34773</v>
      </c>
      <c r="B428" s="4">
        <v>19.1541</v>
      </c>
      <c r="C428" s="4">
        <v>67.135300000000001</v>
      </c>
      <c r="D428" s="4">
        <v>56</v>
      </c>
      <c r="H428" s="12" t="str">
        <f>IFERROR(LOG10(J428/I428),"")</f>
        <v/>
      </c>
      <c r="I428" t="str">
        <f>IF(L428="","",L428/1000/1.022)</f>
        <v/>
      </c>
      <c r="J428" t="str">
        <f>IF(M428="","",M428/1000/1.022)</f>
        <v/>
      </c>
      <c r="K428" t="str">
        <f>IF(N428="","",N428/1000/1.022)</f>
        <v/>
      </c>
      <c r="L428" s="6"/>
      <c r="M428" s="7"/>
      <c r="N428"/>
      <c r="P428" s="5" t="s">
        <v>47</v>
      </c>
      <c r="Q428" s="5" t="s">
        <v>48</v>
      </c>
    </row>
    <row r="429" spans="1:17" s="4" customFormat="1">
      <c r="A429" s="3">
        <v>34773</v>
      </c>
      <c r="B429" s="4">
        <v>19.1541</v>
      </c>
      <c r="C429" s="4">
        <v>67.135300000000001</v>
      </c>
      <c r="D429" s="4">
        <v>85</v>
      </c>
      <c r="H429" s="12" t="str">
        <f>IFERROR(LOG10(J429/I429),"")</f>
        <v/>
      </c>
      <c r="I429" t="str">
        <f>IF(L429="","",L429/1000/1.022)</f>
        <v/>
      </c>
      <c r="J429" t="str">
        <f>IF(M429="","",M429/1000/1.022)</f>
        <v/>
      </c>
      <c r="K429" t="str">
        <f>IF(N429="","",N429/1000/1.022)</f>
        <v/>
      </c>
      <c r="L429" s="6"/>
      <c r="M429" s="7"/>
      <c r="N429"/>
      <c r="P429" s="5" t="s">
        <v>47</v>
      </c>
      <c r="Q429" s="5" t="s">
        <v>48</v>
      </c>
    </row>
    <row r="430" spans="1:17" s="4" customFormat="1">
      <c r="A430" s="3">
        <v>34773</v>
      </c>
      <c r="B430" s="4">
        <v>19.165299999999998</v>
      </c>
      <c r="C430" s="4">
        <v>67.145300000000006</v>
      </c>
      <c r="D430" s="4">
        <v>3</v>
      </c>
      <c r="H430" s="12" t="str">
        <f>IFERROR(LOG10(J430/I430),"")</f>
        <v/>
      </c>
      <c r="I430" t="str">
        <f>IF(L430="","",L430/1000/1.022)</f>
        <v/>
      </c>
      <c r="J430" t="str">
        <f>IF(M430="","",M430/1000/1.022)</f>
        <v/>
      </c>
      <c r="K430" t="str">
        <f>IF(N430="","",N430/1000/1.022)</f>
        <v/>
      </c>
      <c r="L430" s="6"/>
      <c r="M430" s="7"/>
      <c r="N430"/>
      <c r="P430" s="5" t="s">
        <v>47</v>
      </c>
      <c r="Q430" s="5" t="s">
        <v>48</v>
      </c>
    </row>
    <row r="431" spans="1:17" s="4" customFormat="1">
      <c r="A431" s="3">
        <v>34773</v>
      </c>
      <c r="B431" s="4">
        <v>19.165299999999998</v>
      </c>
      <c r="C431" s="4">
        <v>67.145300000000006</v>
      </c>
      <c r="D431" s="4">
        <v>10</v>
      </c>
      <c r="H431" s="12" t="str">
        <f>IFERROR(LOG10(J431/I431),"")</f>
        <v/>
      </c>
      <c r="I431" t="str">
        <f>IF(L431="","",L431/1000/1.022)</f>
        <v/>
      </c>
      <c r="J431" t="str">
        <f>IF(M431="","",M431/1000/1.022)</f>
        <v/>
      </c>
      <c r="K431" t="str">
        <f>IF(N431="","",N431/1000/1.022)</f>
        <v/>
      </c>
      <c r="L431" s="6"/>
      <c r="M431" s="7"/>
      <c r="N431"/>
      <c r="P431" s="5" t="s">
        <v>47</v>
      </c>
      <c r="Q431" s="5" t="s">
        <v>48</v>
      </c>
    </row>
    <row r="432" spans="1:17" s="4" customFormat="1">
      <c r="A432" s="3">
        <v>34773</v>
      </c>
      <c r="B432" s="4">
        <v>19.165299999999998</v>
      </c>
      <c r="C432" s="4">
        <v>67.145300000000006</v>
      </c>
      <c r="D432" s="4">
        <v>16</v>
      </c>
      <c r="H432" s="12" t="str">
        <f>IFERROR(LOG10(J432/I432),"")</f>
        <v/>
      </c>
      <c r="I432" t="str">
        <f>IF(L432="","",L432/1000/1.022)</f>
        <v/>
      </c>
      <c r="J432" t="str">
        <f>IF(M432="","",M432/1000/1.022)</f>
        <v/>
      </c>
      <c r="K432" t="str">
        <f>IF(N432="","",N432/1000/1.022)</f>
        <v/>
      </c>
      <c r="L432" s="6"/>
      <c r="M432" s="7"/>
      <c r="N432"/>
      <c r="P432" s="5" t="s">
        <v>47</v>
      </c>
      <c r="Q432" s="5" t="s">
        <v>48</v>
      </c>
    </row>
    <row r="433" spans="1:17" s="4" customFormat="1">
      <c r="A433" s="3">
        <v>34773</v>
      </c>
      <c r="B433" s="4">
        <v>19.165299999999998</v>
      </c>
      <c r="C433" s="4">
        <v>67.145300000000006</v>
      </c>
      <c r="D433" s="4">
        <v>23</v>
      </c>
      <c r="H433" s="12" t="str">
        <f>IFERROR(LOG10(J433/I433),"")</f>
        <v/>
      </c>
      <c r="I433" t="str">
        <f>IF(L433="","",L433/1000/1.022)</f>
        <v/>
      </c>
      <c r="J433" t="str">
        <f>IF(M433="","",M433/1000/1.022)</f>
        <v/>
      </c>
      <c r="K433" t="str">
        <f>IF(N433="","",N433/1000/1.022)</f>
        <v/>
      </c>
      <c r="L433" s="6"/>
      <c r="M433" s="7"/>
      <c r="N433"/>
      <c r="P433" s="5" t="s">
        <v>47</v>
      </c>
      <c r="Q433" s="5" t="s">
        <v>48</v>
      </c>
    </row>
    <row r="434" spans="1:17" s="4" customFormat="1">
      <c r="A434" s="3">
        <v>34773</v>
      </c>
      <c r="B434" s="4">
        <v>19.165299999999998</v>
      </c>
      <c r="C434" s="4">
        <v>67.145300000000006</v>
      </c>
      <c r="D434" s="4">
        <v>31</v>
      </c>
      <c r="H434" s="12" t="str">
        <f>IFERROR(LOG10(J434/I434),"")</f>
        <v/>
      </c>
      <c r="I434" t="str">
        <f>IF(L434="","",L434/1000/1.022)</f>
        <v/>
      </c>
      <c r="J434" t="str">
        <f>IF(M434="","",M434/1000/1.022)</f>
        <v/>
      </c>
      <c r="K434" t="str">
        <f>IF(N434="","",N434/1000/1.022)</f>
        <v/>
      </c>
      <c r="L434" s="6"/>
      <c r="M434" s="7"/>
      <c r="N434"/>
      <c r="P434" s="5" t="s">
        <v>47</v>
      </c>
      <c r="Q434" s="5" t="s">
        <v>48</v>
      </c>
    </row>
    <row r="435" spans="1:17" s="4" customFormat="1">
      <c r="A435" s="3">
        <v>34773</v>
      </c>
      <c r="B435" s="4">
        <v>19.165299999999998</v>
      </c>
      <c r="C435" s="4">
        <v>67.145300000000006</v>
      </c>
      <c r="D435" s="4">
        <v>39</v>
      </c>
      <c r="H435" s="12" t="str">
        <f>IFERROR(LOG10(J435/I435),"")</f>
        <v/>
      </c>
      <c r="I435" t="str">
        <f>IF(L435="","",L435/1000/1.022)</f>
        <v/>
      </c>
      <c r="J435" t="str">
        <f>IF(M435="","",M435/1000/1.022)</f>
        <v/>
      </c>
      <c r="K435" t="str">
        <f>IF(N435="","",N435/1000/1.022)</f>
        <v/>
      </c>
      <c r="L435" s="6"/>
      <c r="M435" s="7"/>
      <c r="N435"/>
      <c r="P435" s="5" t="s">
        <v>47</v>
      </c>
      <c r="Q435" s="5" t="s">
        <v>48</v>
      </c>
    </row>
    <row r="436" spans="1:17" s="4" customFormat="1">
      <c r="A436" s="3">
        <v>34773</v>
      </c>
      <c r="B436" s="4">
        <v>19.165299999999998</v>
      </c>
      <c r="C436" s="4">
        <v>67.145300000000006</v>
      </c>
      <c r="D436" s="4">
        <v>56</v>
      </c>
      <c r="H436" s="12" t="str">
        <f>IFERROR(LOG10(J436/I436),"")</f>
        <v/>
      </c>
      <c r="I436" t="str">
        <f>IF(L436="","",L436/1000/1.022)</f>
        <v/>
      </c>
      <c r="J436" t="str">
        <f>IF(M436="","",M436/1000/1.022)</f>
        <v/>
      </c>
      <c r="K436" t="str">
        <f>IF(N436="","",N436/1000/1.022)</f>
        <v/>
      </c>
      <c r="L436" s="6"/>
      <c r="M436" s="7"/>
      <c r="N436"/>
      <c r="P436" s="5" t="s">
        <v>47</v>
      </c>
      <c r="Q436" s="5" t="s">
        <v>48</v>
      </c>
    </row>
    <row r="437" spans="1:17" s="4" customFormat="1">
      <c r="A437" s="3">
        <v>34773</v>
      </c>
      <c r="B437" s="4">
        <v>19.165299999999998</v>
      </c>
      <c r="C437" s="4">
        <v>67.145300000000006</v>
      </c>
      <c r="D437" s="4">
        <v>85</v>
      </c>
      <c r="H437" s="12" t="str">
        <f>IFERROR(LOG10(J437/I437),"")</f>
        <v/>
      </c>
      <c r="I437" t="str">
        <f>IF(L437="","",L437/1000/1.022)</f>
        <v/>
      </c>
      <c r="J437" t="str">
        <f>IF(M437="","",M437/1000/1.022)</f>
        <v/>
      </c>
      <c r="K437" t="str">
        <f>IF(N437="","",N437/1000/1.022)</f>
        <v/>
      </c>
      <c r="L437" s="6"/>
      <c r="M437" s="7"/>
      <c r="N437"/>
      <c r="P437" s="5" t="s">
        <v>47</v>
      </c>
      <c r="Q437" s="5" t="s">
        <v>48</v>
      </c>
    </row>
    <row r="438" spans="1:17" s="4" customFormat="1">
      <c r="A438" s="3">
        <v>34773</v>
      </c>
      <c r="B438" s="4">
        <v>18.289899999999999</v>
      </c>
      <c r="C438" s="4">
        <v>67.569299999999998</v>
      </c>
      <c r="D438" s="4">
        <v>7</v>
      </c>
      <c r="H438" s="12" t="str">
        <f>IFERROR(LOG10(J438/I438),"")</f>
        <v/>
      </c>
      <c r="I438" t="str">
        <f>IF(L438="","",L438/1000/1.022)</f>
        <v/>
      </c>
      <c r="J438" t="str">
        <f>IF(M438="","",M438/1000/1.022)</f>
        <v/>
      </c>
      <c r="K438" t="str">
        <f>IF(N438="","",N438/1000/1.022)</f>
        <v/>
      </c>
      <c r="L438" s="6"/>
      <c r="M438" s="7"/>
      <c r="N438"/>
      <c r="P438" s="5" t="s">
        <v>47</v>
      </c>
      <c r="Q438" s="5" t="s">
        <v>48</v>
      </c>
    </row>
    <row r="439" spans="1:17" s="4" customFormat="1">
      <c r="A439" s="3">
        <v>34773</v>
      </c>
      <c r="B439" s="4">
        <v>18.289899999999999</v>
      </c>
      <c r="C439" s="4">
        <v>67.569299999999998</v>
      </c>
      <c r="D439" s="4">
        <v>11</v>
      </c>
      <c r="H439" s="12" t="str">
        <f>IFERROR(LOG10(J439/I439),"")</f>
        <v/>
      </c>
      <c r="I439">
        <f>IF(L439="","",L439/1000/1.022)</f>
        <v>2.2602739726027396E-5</v>
      </c>
      <c r="J439" t="str">
        <f>IF(M439="","",M439/1000/1.022)</f>
        <v/>
      </c>
      <c r="K439">
        <f>IF(N439="","",N439/1000/1.022)</f>
        <v>3.7181996086105673E-6</v>
      </c>
      <c r="L439" s="6">
        <v>2.3099999999999999E-2</v>
      </c>
      <c r="M439" s="7"/>
      <c r="N439">
        <v>3.8E-3</v>
      </c>
      <c r="P439" s="5" t="s">
        <v>47</v>
      </c>
      <c r="Q439" s="5" t="s">
        <v>48</v>
      </c>
    </row>
    <row r="440" spans="1:17" s="4" customFormat="1">
      <c r="A440" s="3">
        <v>34773</v>
      </c>
      <c r="B440" s="4">
        <v>18.289899999999999</v>
      </c>
      <c r="C440" s="4">
        <v>67.569299999999998</v>
      </c>
      <c r="D440" s="4">
        <v>17</v>
      </c>
      <c r="H440" s="12" t="str">
        <f>IFERROR(LOG10(J440/I440),"")</f>
        <v/>
      </c>
      <c r="I440" t="str">
        <f>IF(L440="","",L440/1000/1.022)</f>
        <v/>
      </c>
      <c r="J440" t="str">
        <f>IF(M440="","",M440/1000/1.022)</f>
        <v/>
      </c>
      <c r="K440" t="str">
        <f>IF(N440="","",N440/1000/1.022)</f>
        <v/>
      </c>
      <c r="L440" s="6"/>
      <c r="M440" s="7"/>
      <c r="N440"/>
      <c r="P440" s="5" t="s">
        <v>47</v>
      </c>
      <c r="Q440" s="5" t="s">
        <v>48</v>
      </c>
    </row>
    <row r="441" spans="1:17" s="4" customFormat="1">
      <c r="A441" s="3">
        <v>34773</v>
      </c>
      <c r="B441" s="4">
        <v>18.289899999999999</v>
      </c>
      <c r="C441" s="4">
        <v>67.569299999999998</v>
      </c>
      <c r="D441" s="4">
        <v>27</v>
      </c>
      <c r="H441" s="12" t="str">
        <f>IFERROR(LOG10(J441/I441),"")</f>
        <v/>
      </c>
      <c r="I441" t="str">
        <f>IF(L441="","",L441/1000/1.022)</f>
        <v/>
      </c>
      <c r="J441" t="str">
        <f>IF(M441="","",M441/1000/1.022)</f>
        <v/>
      </c>
      <c r="K441" t="str">
        <f>IF(N441="","",N441/1000/1.022)</f>
        <v/>
      </c>
      <c r="L441" s="6"/>
      <c r="M441" s="7"/>
      <c r="N441"/>
      <c r="P441" s="5" t="s">
        <v>47</v>
      </c>
      <c r="Q441" s="5" t="s">
        <v>48</v>
      </c>
    </row>
    <row r="442" spans="1:17" s="4" customFormat="1">
      <c r="A442" s="3">
        <v>34773</v>
      </c>
      <c r="B442" s="4">
        <v>18.289899999999999</v>
      </c>
      <c r="C442" s="4">
        <v>67.569299999999998</v>
      </c>
      <c r="D442" s="4">
        <v>34</v>
      </c>
      <c r="H442" s="12" t="str">
        <f>IFERROR(LOG10(J442/I442),"")</f>
        <v/>
      </c>
      <c r="I442" t="str">
        <f>IF(L442="","",L442/1000/1.022)</f>
        <v/>
      </c>
      <c r="J442" t="str">
        <f>IF(M442="","",M442/1000/1.022)</f>
        <v/>
      </c>
      <c r="K442" t="str">
        <f>IF(N442="","",N442/1000/1.022)</f>
        <v/>
      </c>
      <c r="L442" s="6"/>
      <c r="M442" s="7"/>
      <c r="N442"/>
      <c r="P442" s="5" t="s">
        <v>47</v>
      </c>
      <c r="Q442" s="5" t="s">
        <v>48</v>
      </c>
    </row>
    <row r="443" spans="1:17" s="4" customFormat="1">
      <c r="A443" s="3">
        <v>34773</v>
      </c>
      <c r="B443" s="4">
        <v>18.289899999999999</v>
      </c>
      <c r="C443" s="4">
        <v>67.569299999999998</v>
      </c>
      <c r="D443" s="4">
        <v>41</v>
      </c>
      <c r="H443" s="12" t="str">
        <f>IFERROR(LOG10(J443/I443),"")</f>
        <v/>
      </c>
      <c r="I443">
        <f>IF(L443="","",L443/1000/1.022)</f>
        <v>5.5772994129158518E-6</v>
      </c>
      <c r="J443" t="str">
        <f>IF(M443="","",M443/1000/1.022)</f>
        <v/>
      </c>
      <c r="K443">
        <f>IF(N443="","",N443/1000/1.022)</f>
        <v>7.8277886497064579E-7</v>
      </c>
      <c r="L443" s="6">
        <v>5.7000000000000002E-3</v>
      </c>
      <c r="M443" s="7"/>
      <c r="N443">
        <v>8.0000000000000004E-4</v>
      </c>
      <c r="P443" s="5" t="s">
        <v>47</v>
      </c>
      <c r="Q443" s="5" t="s">
        <v>48</v>
      </c>
    </row>
    <row r="444" spans="1:17" s="4" customFormat="1">
      <c r="A444" s="3">
        <v>34773</v>
      </c>
      <c r="B444" s="4">
        <v>18.289899999999999</v>
      </c>
      <c r="C444" s="4">
        <v>67.569299999999998</v>
      </c>
      <c r="D444" s="4">
        <v>61</v>
      </c>
      <c r="H444" s="12" t="str">
        <f>IFERROR(LOG10(J444/I444),"")</f>
        <v/>
      </c>
      <c r="I444" t="str">
        <f>IF(L444="","",L444/1000/1.022)</f>
        <v/>
      </c>
      <c r="J444" t="str">
        <f>IF(M444="","",M444/1000/1.022)</f>
        <v/>
      </c>
      <c r="K444" t="str">
        <f>IF(N444="","",N444/1000/1.022)</f>
        <v/>
      </c>
      <c r="L444" s="6"/>
      <c r="M444" s="7"/>
      <c r="N444"/>
      <c r="P444" s="5" t="s">
        <v>47</v>
      </c>
      <c r="Q444" s="5" t="s">
        <v>48</v>
      </c>
    </row>
    <row r="445" spans="1:17" s="4" customFormat="1">
      <c r="A445" s="3">
        <v>34773</v>
      </c>
      <c r="B445" s="4">
        <v>18.289899999999999</v>
      </c>
      <c r="C445" s="4">
        <v>67.569299999999998</v>
      </c>
      <c r="D445" s="4">
        <v>89</v>
      </c>
      <c r="H445" s="12" t="str">
        <f>IFERROR(LOG10(J445/I445),"")</f>
        <v/>
      </c>
      <c r="I445" t="str">
        <f>IF(L445="","",L445/1000/1.022)</f>
        <v/>
      </c>
      <c r="J445" t="str">
        <f>IF(M445="","",M445/1000/1.022)</f>
        <v/>
      </c>
      <c r="K445" t="str">
        <f>IF(N445="","",N445/1000/1.022)</f>
        <v/>
      </c>
      <c r="L445" s="6"/>
      <c r="M445" s="7"/>
      <c r="N445"/>
      <c r="P445" s="5" t="s">
        <v>47</v>
      </c>
      <c r="Q445" s="5" t="s">
        <v>48</v>
      </c>
    </row>
    <row r="446" spans="1:17" s="4" customFormat="1">
      <c r="A446" s="3">
        <v>34773</v>
      </c>
      <c r="B446" s="4">
        <v>17.321999999999999</v>
      </c>
      <c r="C446" s="4">
        <v>67.902799999999999</v>
      </c>
      <c r="D446" s="4">
        <v>2</v>
      </c>
      <c r="H446" s="12" t="str">
        <f>IFERROR(LOG10(J446/I446),"")</f>
        <v/>
      </c>
      <c r="I446" t="str">
        <f>IF(L446="","",L446/1000/1.022)</f>
        <v/>
      </c>
      <c r="J446" t="str">
        <f>IF(M446="","",M446/1000/1.022)</f>
        <v/>
      </c>
      <c r="K446" t="str">
        <f>IF(N446="","",N446/1000/1.022)</f>
        <v/>
      </c>
      <c r="L446" s="6"/>
      <c r="M446" s="7"/>
      <c r="N446"/>
      <c r="P446" s="5" t="s">
        <v>47</v>
      </c>
      <c r="Q446" s="5" t="s">
        <v>48</v>
      </c>
    </row>
    <row r="447" spans="1:17" s="4" customFormat="1">
      <c r="A447" s="3">
        <v>34773</v>
      </c>
      <c r="B447" s="4">
        <v>17.321999999999999</v>
      </c>
      <c r="C447" s="4">
        <v>67.902799999999999</v>
      </c>
      <c r="D447" s="4">
        <v>11</v>
      </c>
      <c r="H447" s="12" t="str">
        <f>IFERROR(LOG10(J447/I447),"")</f>
        <v/>
      </c>
      <c r="I447" t="str">
        <f>IF(L447="","",L447/1000/1.022)</f>
        <v/>
      </c>
      <c r="J447" t="str">
        <f>IF(M447="","",M447/1000/1.022)</f>
        <v/>
      </c>
      <c r="K447" t="str">
        <f>IF(N447="","",N447/1000/1.022)</f>
        <v/>
      </c>
      <c r="L447" s="6"/>
      <c r="M447" s="7"/>
      <c r="N447"/>
      <c r="P447" s="5" t="s">
        <v>47</v>
      </c>
      <c r="Q447" s="5" t="s">
        <v>48</v>
      </c>
    </row>
    <row r="448" spans="1:17" s="4" customFormat="1">
      <c r="A448" s="3">
        <v>34773</v>
      </c>
      <c r="B448" s="4">
        <v>17.321999999999999</v>
      </c>
      <c r="C448" s="4">
        <v>67.902799999999999</v>
      </c>
      <c r="D448" s="4">
        <v>18</v>
      </c>
      <c r="H448" s="12" t="str">
        <f>IFERROR(LOG10(J448/I448),"")</f>
        <v/>
      </c>
      <c r="I448" t="str">
        <f>IF(L448="","",L448/1000/1.022)</f>
        <v/>
      </c>
      <c r="J448" t="str">
        <f>IF(M448="","",M448/1000/1.022)</f>
        <v/>
      </c>
      <c r="K448">
        <f>IF(N448="","",N448/1000/1.022)</f>
        <v>1.1545988258317025E-5</v>
      </c>
      <c r="L448" s="6"/>
      <c r="M448" s="7"/>
      <c r="N448">
        <v>1.18E-2</v>
      </c>
      <c r="P448" s="5" t="s">
        <v>47</v>
      </c>
      <c r="Q448" s="5" t="s">
        <v>48</v>
      </c>
    </row>
    <row r="449" spans="1:17" s="4" customFormat="1">
      <c r="A449" s="3">
        <v>34773</v>
      </c>
      <c r="B449" s="4">
        <v>17.321999999999999</v>
      </c>
      <c r="C449" s="4">
        <v>67.902799999999999</v>
      </c>
      <c r="D449" s="4">
        <v>27</v>
      </c>
      <c r="H449" s="12" t="str">
        <f>IFERROR(LOG10(J449/I449),"")</f>
        <v/>
      </c>
      <c r="I449" t="str">
        <f>IF(L449="","",L449/1000/1.022)</f>
        <v/>
      </c>
      <c r="J449" t="str">
        <f>IF(M449="","",M449/1000/1.022)</f>
        <v/>
      </c>
      <c r="K449">
        <f>IF(N449="","",N449/1000/1.022)</f>
        <v>2.7495107632093932E-5</v>
      </c>
      <c r="L449" s="6"/>
      <c r="M449" s="7"/>
      <c r="N449">
        <v>2.81E-2</v>
      </c>
      <c r="P449" s="5" t="s">
        <v>47</v>
      </c>
      <c r="Q449" s="5" t="s">
        <v>48</v>
      </c>
    </row>
    <row r="450" spans="1:17" s="4" customFormat="1">
      <c r="A450" s="3">
        <v>34773</v>
      </c>
      <c r="B450" s="4">
        <v>17.321999999999999</v>
      </c>
      <c r="C450" s="4">
        <v>67.902799999999999</v>
      </c>
      <c r="D450" s="4">
        <v>36</v>
      </c>
      <c r="H450" s="12" t="str">
        <f>IFERROR(LOG10(J450/I450),"")</f>
        <v/>
      </c>
      <c r="I450" t="str">
        <f>IF(L450="","",L450/1000/1.022)</f>
        <v/>
      </c>
      <c r="J450" t="str">
        <f>IF(M450="","",M450/1000/1.022)</f>
        <v/>
      </c>
      <c r="K450">
        <f>IF(N450="","",N450/1000/1.022)</f>
        <v>8.8062622309197637E-6</v>
      </c>
      <c r="L450" s="6"/>
      <c r="M450" s="7"/>
      <c r="N450">
        <v>8.9999999999999993E-3</v>
      </c>
      <c r="P450" s="5" t="s">
        <v>47</v>
      </c>
      <c r="Q450" s="5" t="s">
        <v>48</v>
      </c>
    </row>
    <row r="451" spans="1:17" s="4" customFormat="1">
      <c r="A451" s="3">
        <v>34773</v>
      </c>
      <c r="B451" s="4">
        <v>17.321999999999999</v>
      </c>
      <c r="C451" s="4">
        <v>67.902799999999999</v>
      </c>
      <c r="D451" s="4">
        <v>45</v>
      </c>
      <c r="H451" s="12" t="str">
        <f>IFERROR(LOG10(J451/I451),"")</f>
        <v/>
      </c>
      <c r="I451">
        <f>IF(L451="","",L451/1000/1.022)</f>
        <v>1.340508806262231E-5</v>
      </c>
      <c r="J451" t="str">
        <f>IF(M451="","",M451/1000/1.022)</f>
        <v/>
      </c>
      <c r="K451">
        <f>IF(N451="","",N451/1000/1.022)</f>
        <v>2.8375733855185909E-6</v>
      </c>
      <c r="L451" s="6">
        <v>1.37E-2</v>
      </c>
      <c r="M451" s="7"/>
      <c r="N451">
        <v>2.8999999999999998E-3</v>
      </c>
      <c r="P451" s="5" t="s">
        <v>47</v>
      </c>
      <c r="Q451" s="5" t="s">
        <v>48</v>
      </c>
    </row>
    <row r="452" spans="1:17" s="4" customFormat="1">
      <c r="A452" s="3">
        <v>34773</v>
      </c>
      <c r="B452" s="4">
        <v>17.321999999999999</v>
      </c>
      <c r="C452" s="4">
        <v>67.902799999999999</v>
      </c>
      <c r="D452" s="4">
        <v>65</v>
      </c>
      <c r="H452" s="12" t="str">
        <f>IFERROR(LOG10(J452/I452),"")</f>
        <v/>
      </c>
      <c r="I452" t="str">
        <f>IF(L452="","",L452/1000/1.022)</f>
        <v/>
      </c>
      <c r="J452" t="str">
        <f>IF(M452="","",M452/1000/1.022)</f>
        <v/>
      </c>
      <c r="K452">
        <f>IF(N452="","",N452/1000/1.022)</f>
        <v>2.2504892367906068E-6</v>
      </c>
      <c r="L452" s="6"/>
      <c r="M452" s="7"/>
      <c r="N452">
        <v>2.3E-3</v>
      </c>
      <c r="P452" s="5" t="s">
        <v>47</v>
      </c>
      <c r="Q452" s="5" t="s">
        <v>48</v>
      </c>
    </row>
    <row r="453" spans="1:17" s="4" customFormat="1">
      <c r="A453" s="3">
        <v>34773</v>
      </c>
      <c r="B453" s="4">
        <v>17.321999999999999</v>
      </c>
      <c r="C453" s="4">
        <v>67.902799999999999</v>
      </c>
      <c r="D453" s="4">
        <v>99</v>
      </c>
      <c r="H453" s="12" t="str">
        <f>IFERROR(LOG10(J453/I453),"")</f>
        <v/>
      </c>
      <c r="I453" t="str">
        <f>IF(L453="","",L453/1000/1.022)</f>
        <v/>
      </c>
      <c r="J453" t="str">
        <f>IF(M453="","",M453/1000/1.022)</f>
        <v/>
      </c>
      <c r="K453">
        <f>IF(N453="","",N453/1000/1.022)</f>
        <v>8.8062622309197648E-7</v>
      </c>
      <c r="L453" s="6"/>
      <c r="M453" s="7"/>
      <c r="N453">
        <v>8.9999999999999998E-4</v>
      </c>
      <c r="P453" s="5" t="s">
        <v>47</v>
      </c>
      <c r="Q453" s="5" t="s">
        <v>48</v>
      </c>
    </row>
    <row r="454" spans="1:17" s="4" customFormat="1">
      <c r="A454" s="3">
        <v>34773</v>
      </c>
      <c r="B454" s="4">
        <v>15.3855</v>
      </c>
      <c r="C454" s="4">
        <v>68.739000000000004</v>
      </c>
      <c r="D454" s="4">
        <v>4</v>
      </c>
      <c r="H454" s="12" t="str">
        <f>IFERROR(LOG10(J454/I454),"")</f>
        <v/>
      </c>
      <c r="I454" t="str">
        <f>IF(L454="","",L454/1000/1.022)</f>
        <v/>
      </c>
      <c r="J454" t="str">
        <f>IF(M454="","",M454/1000/1.022)</f>
        <v/>
      </c>
      <c r="K454" t="str">
        <f>IF(N454="","",N454/1000/1.022)</f>
        <v/>
      </c>
      <c r="L454" s="6"/>
      <c r="M454" s="7"/>
      <c r="N454"/>
      <c r="P454" s="5" t="s">
        <v>47</v>
      </c>
      <c r="Q454" s="5" t="s">
        <v>48</v>
      </c>
    </row>
    <row r="455" spans="1:17" s="4" customFormat="1">
      <c r="A455" s="3">
        <v>34773</v>
      </c>
      <c r="B455" s="4">
        <v>15.3855</v>
      </c>
      <c r="C455" s="4">
        <v>68.739000000000004</v>
      </c>
      <c r="D455" s="4">
        <v>15</v>
      </c>
      <c r="H455" s="12" t="str">
        <f>IFERROR(LOG10(J455/I455),"")</f>
        <v/>
      </c>
      <c r="I455" t="str">
        <f>IF(L455="","",L455/1000/1.022)</f>
        <v/>
      </c>
      <c r="J455" t="str">
        <f>IF(M455="","",M455/1000/1.022)</f>
        <v/>
      </c>
      <c r="K455" t="str">
        <f>IF(N455="","",N455/1000/1.022)</f>
        <v/>
      </c>
      <c r="L455" s="6"/>
      <c r="M455" s="7"/>
      <c r="N455"/>
      <c r="P455" s="5" t="s">
        <v>47</v>
      </c>
      <c r="Q455" s="5" t="s">
        <v>48</v>
      </c>
    </row>
    <row r="456" spans="1:17" s="4" customFormat="1">
      <c r="A456" s="3">
        <v>34773</v>
      </c>
      <c r="B456" s="4">
        <v>15.3855</v>
      </c>
      <c r="C456" s="4">
        <v>68.739000000000004</v>
      </c>
      <c r="D456" s="4">
        <v>25</v>
      </c>
      <c r="H456" s="12" t="str">
        <f>IFERROR(LOG10(J456/I456),"")</f>
        <v/>
      </c>
      <c r="I456" t="str">
        <f>IF(L456="","",L456/1000/1.022)</f>
        <v/>
      </c>
      <c r="J456" t="str">
        <f>IF(M456="","",M456/1000/1.022)</f>
        <v/>
      </c>
      <c r="K456" t="str">
        <f>IF(N456="","",N456/1000/1.022)</f>
        <v/>
      </c>
      <c r="L456" s="6"/>
      <c r="M456" s="7"/>
      <c r="N456"/>
      <c r="P456" s="5" t="s">
        <v>47</v>
      </c>
      <c r="Q456" s="5" t="s">
        <v>48</v>
      </c>
    </row>
    <row r="457" spans="1:17" s="4" customFormat="1">
      <c r="A457" s="3">
        <v>34773</v>
      </c>
      <c r="B457" s="4">
        <v>15.3855</v>
      </c>
      <c r="C457" s="4">
        <v>68.739000000000004</v>
      </c>
      <c r="D457" s="4">
        <v>37</v>
      </c>
      <c r="H457" s="12" t="str">
        <f>IFERROR(LOG10(J457/I457),"")</f>
        <v/>
      </c>
      <c r="I457" t="str">
        <f>IF(L457="","",L457/1000/1.022)</f>
        <v/>
      </c>
      <c r="J457" t="str">
        <f>IF(M457="","",M457/1000/1.022)</f>
        <v/>
      </c>
      <c r="K457" t="str">
        <f>IF(N457="","",N457/1000/1.022)</f>
        <v/>
      </c>
      <c r="L457" s="6"/>
      <c r="M457" s="7"/>
      <c r="N457"/>
      <c r="P457" s="5" t="s">
        <v>47</v>
      </c>
      <c r="Q457" s="5" t="s">
        <v>48</v>
      </c>
    </row>
    <row r="458" spans="1:17" s="4" customFormat="1">
      <c r="A458" s="3">
        <v>34773</v>
      </c>
      <c r="B458" s="4">
        <v>15.3855</v>
      </c>
      <c r="C458" s="4">
        <v>68.739000000000004</v>
      </c>
      <c r="D458" s="4">
        <v>52</v>
      </c>
      <c r="H458" s="12" t="str">
        <f>IFERROR(LOG10(J458/I458),"")</f>
        <v/>
      </c>
      <c r="I458" t="str">
        <f>IF(L458="","",L458/1000/1.022)</f>
        <v/>
      </c>
      <c r="J458" t="str">
        <f>IF(M458="","",M458/1000/1.022)</f>
        <v/>
      </c>
      <c r="K458" t="str">
        <f>IF(N458="","",N458/1000/1.022)</f>
        <v/>
      </c>
      <c r="L458" s="6"/>
      <c r="M458" s="7"/>
      <c r="N458"/>
      <c r="P458" s="5" t="s">
        <v>47</v>
      </c>
      <c r="Q458" s="5" t="s">
        <v>48</v>
      </c>
    </row>
    <row r="459" spans="1:17" s="4" customFormat="1">
      <c r="A459" s="3">
        <v>34773</v>
      </c>
      <c r="B459" s="4">
        <v>15.3855</v>
      </c>
      <c r="C459" s="4">
        <v>68.739000000000004</v>
      </c>
      <c r="D459" s="4">
        <v>63</v>
      </c>
      <c r="H459" s="12" t="str">
        <f>IFERROR(LOG10(J459/I459),"")</f>
        <v/>
      </c>
      <c r="I459" t="str">
        <f>IF(L459="","",L459/1000/1.022)</f>
        <v/>
      </c>
      <c r="J459" t="str">
        <f>IF(M459="","",M459/1000/1.022)</f>
        <v/>
      </c>
      <c r="K459" t="str">
        <f>IF(N459="","",N459/1000/1.022)</f>
        <v/>
      </c>
      <c r="L459" s="6"/>
      <c r="M459" s="7"/>
      <c r="N459"/>
      <c r="P459" s="5" t="s">
        <v>47</v>
      </c>
      <c r="Q459" s="5" t="s">
        <v>48</v>
      </c>
    </row>
    <row r="460" spans="1:17" s="4" customFormat="1">
      <c r="A460" s="3">
        <v>34773</v>
      </c>
      <c r="B460" s="4">
        <v>15.3855</v>
      </c>
      <c r="C460" s="4">
        <v>68.739000000000004</v>
      </c>
      <c r="D460" s="4">
        <v>90</v>
      </c>
      <c r="H460" s="12" t="str">
        <f>IFERROR(LOG10(J460/I460),"")</f>
        <v/>
      </c>
      <c r="I460" t="str">
        <f>IF(L460="","",L460/1000/1.022)</f>
        <v/>
      </c>
      <c r="J460" t="str">
        <f>IF(M460="","",M460/1000/1.022)</f>
        <v/>
      </c>
      <c r="K460" t="str">
        <f>IF(N460="","",N460/1000/1.022)</f>
        <v/>
      </c>
      <c r="L460" s="6"/>
      <c r="M460" s="7"/>
      <c r="N460"/>
      <c r="P460" s="5" t="s">
        <v>47</v>
      </c>
      <c r="Q460" s="5" t="s">
        <v>48</v>
      </c>
    </row>
    <row r="461" spans="1:17" s="4" customFormat="1">
      <c r="A461" s="3">
        <v>34773</v>
      </c>
      <c r="B461" s="4">
        <v>15.3855</v>
      </c>
      <c r="C461" s="4">
        <v>68.739000000000004</v>
      </c>
      <c r="D461" s="4">
        <v>138</v>
      </c>
      <c r="H461" s="12" t="str">
        <f>IFERROR(LOG10(J461/I461),"")</f>
        <v/>
      </c>
      <c r="I461" t="str">
        <f>IF(L461="","",L461/1000/1.022)</f>
        <v/>
      </c>
      <c r="J461" t="str">
        <f>IF(M461="","",M461/1000/1.022)</f>
        <v/>
      </c>
      <c r="K461" t="str">
        <f>IF(N461="","",N461/1000/1.022)</f>
        <v/>
      </c>
      <c r="L461" s="6"/>
      <c r="M461" s="7"/>
      <c r="N461"/>
      <c r="P461" s="5" t="s">
        <v>47</v>
      </c>
      <c r="Q461" s="5" t="s">
        <v>48</v>
      </c>
    </row>
    <row r="462" spans="1:17" s="4" customFormat="1">
      <c r="A462" s="3">
        <v>34773</v>
      </c>
      <c r="B462" s="4">
        <v>15.4008</v>
      </c>
      <c r="C462" s="4">
        <v>68.729699999999994</v>
      </c>
      <c r="D462" s="4">
        <v>4</v>
      </c>
      <c r="H462" s="12" t="str">
        <f>IFERROR(LOG10(J462/I462),"")</f>
        <v/>
      </c>
      <c r="I462" t="str">
        <f>IF(L462="","",L462/1000/1.022)</f>
        <v/>
      </c>
      <c r="J462">
        <f>IF(M462="","",M462/1000/1.022)</f>
        <v>2.5440313111545986E-6</v>
      </c>
      <c r="K462" t="str">
        <f>IF(N462="","",N462/1000/1.022)</f>
        <v/>
      </c>
      <c r="L462" s="6"/>
      <c r="M462" s="7">
        <v>2.5999999999999999E-3</v>
      </c>
      <c r="N462"/>
      <c r="O462" s="5"/>
      <c r="P462" s="5" t="s">
        <v>47</v>
      </c>
      <c r="Q462" s="5" t="s">
        <v>48</v>
      </c>
    </row>
    <row r="463" spans="1:17" s="13" customFormat="1">
      <c r="A463" s="17">
        <v>34773</v>
      </c>
      <c r="B463" s="13">
        <v>15.4008</v>
      </c>
      <c r="C463" s="13">
        <v>68.729699999999994</v>
      </c>
      <c r="D463" s="13">
        <v>15</v>
      </c>
      <c r="H463" s="12">
        <f>IFERROR(LOG10(J463/I463),"")</f>
        <v>0.17609125905568124</v>
      </c>
      <c r="I463">
        <f>IF(L463="","",L463/1000/1.022)</f>
        <v>1.9569471624266145E-6</v>
      </c>
      <c r="J463">
        <f>IF(M463="","",M463/1000/1.022)</f>
        <v>2.9354207436399218E-6</v>
      </c>
      <c r="K463">
        <f>IF(N463="","",N463/1000/1.022)</f>
        <v>6.84931506849315E-7</v>
      </c>
      <c r="L463" s="14">
        <v>2E-3</v>
      </c>
      <c r="M463" s="15">
        <v>3.0000000000000001E-3</v>
      </c>
      <c r="N463">
        <v>6.9999999999999999E-4</v>
      </c>
      <c r="P463" s="16" t="s">
        <v>47</v>
      </c>
      <c r="Q463" s="16" t="s">
        <v>48</v>
      </c>
    </row>
    <row r="464" spans="1:17" s="4" customFormat="1">
      <c r="A464" s="3">
        <v>34773</v>
      </c>
      <c r="B464" s="4">
        <v>15.4008</v>
      </c>
      <c r="C464" s="4">
        <v>68.729699999999994</v>
      </c>
      <c r="D464" s="4">
        <v>25</v>
      </c>
      <c r="H464" s="12" t="str">
        <f>IFERROR(LOG10(J464/I464),"")</f>
        <v/>
      </c>
      <c r="I464" t="str">
        <f>IF(L464="","",L464/1000/1.022)</f>
        <v/>
      </c>
      <c r="J464">
        <f>IF(M464="","",M464/1000/1.022)</f>
        <v>3.3268101761252441E-6</v>
      </c>
      <c r="K464">
        <f>IF(N464="","",N464/1000/1.022)</f>
        <v>9.7847358121330727E-7</v>
      </c>
      <c r="L464" s="6"/>
      <c r="M464" s="7">
        <v>3.3999999999999998E-3</v>
      </c>
      <c r="N464">
        <v>1E-3</v>
      </c>
      <c r="P464" s="5" t="s">
        <v>47</v>
      </c>
      <c r="Q464" s="5" t="s">
        <v>48</v>
      </c>
    </row>
    <row r="465" spans="1:17" s="4" customFormat="1">
      <c r="A465" s="3">
        <v>34773</v>
      </c>
      <c r="B465" s="4">
        <v>15.4008</v>
      </c>
      <c r="C465" s="4">
        <v>68.729699999999994</v>
      </c>
      <c r="D465" s="4">
        <v>37</v>
      </c>
      <c r="H465" s="12" t="str">
        <f>IFERROR(LOG10(J465/I465),"")</f>
        <v/>
      </c>
      <c r="I465" t="str">
        <f>IF(L465="","",L465/1000/1.022)</f>
        <v/>
      </c>
      <c r="J465" t="str">
        <f>IF(M465="","",M465/1000/1.022)</f>
        <v/>
      </c>
      <c r="K465">
        <f>IF(N465="","",N465/1000/1.022)</f>
        <v>4.01174168297456E-6</v>
      </c>
      <c r="L465" s="6"/>
      <c r="M465" s="7"/>
      <c r="N465">
        <v>4.1000000000000003E-3</v>
      </c>
      <c r="P465" s="5" t="s">
        <v>47</v>
      </c>
      <c r="Q465" s="5" t="s">
        <v>48</v>
      </c>
    </row>
    <row r="466" spans="1:17" s="4" customFormat="1">
      <c r="A466" s="3">
        <v>34773</v>
      </c>
      <c r="B466" s="4">
        <v>15.4008</v>
      </c>
      <c r="C466" s="4">
        <v>68.729699999999994</v>
      </c>
      <c r="D466" s="4">
        <v>52</v>
      </c>
      <c r="H466" s="12" t="str">
        <f>IFERROR(LOG10(J466/I466),"")</f>
        <v/>
      </c>
      <c r="I466" t="str">
        <f>IF(L466="","",L466/1000/1.022)</f>
        <v/>
      </c>
      <c r="J466">
        <f>IF(M466="","",M466/1000/1.022)</f>
        <v>3.3268101761252441E-6</v>
      </c>
      <c r="K466">
        <f>IF(N466="","",N466/1000/1.022)</f>
        <v>1.761252446183953E-6</v>
      </c>
      <c r="L466" s="6"/>
      <c r="M466" s="7">
        <v>3.3999999999999998E-3</v>
      </c>
      <c r="N466">
        <v>1.8E-3</v>
      </c>
      <c r="P466" s="5" t="s">
        <v>47</v>
      </c>
      <c r="Q466" s="5" t="s">
        <v>48</v>
      </c>
    </row>
    <row r="467" spans="1:17" s="4" customFormat="1">
      <c r="A467" s="3">
        <v>34773</v>
      </c>
      <c r="B467" s="4">
        <v>15.4008</v>
      </c>
      <c r="C467" s="4">
        <v>68.729699999999994</v>
      </c>
      <c r="D467" s="4">
        <v>63</v>
      </c>
      <c r="H467" s="12" t="str">
        <f>IFERROR(LOG10(J467/I467),"")</f>
        <v/>
      </c>
      <c r="I467" t="str">
        <f>IF(L467="","",L467/1000/1.022)</f>
        <v/>
      </c>
      <c r="J467" t="str">
        <f>IF(M467="","",M467/1000/1.022)</f>
        <v/>
      </c>
      <c r="K467">
        <f>IF(N467="","",N467/1000/1.022)</f>
        <v>9.7847358121330727E-7</v>
      </c>
      <c r="L467" s="6"/>
      <c r="M467" s="7"/>
      <c r="N467">
        <v>1E-3</v>
      </c>
      <c r="P467" s="5" t="s">
        <v>47</v>
      </c>
      <c r="Q467" s="5" t="s">
        <v>48</v>
      </c>
    </row>
    <row r="468" spans="1:17" s="4" customFormat="1">
      <c r="A468" s="3">
        <v>34773</v>
      </c>
      <c r="B468" s="4">
        <v>15.4008</v>
      </c>
      <c r="C468" s="4">
        <v>68.729699999999994</v>
      </c>
      <c r="D468" s="4">
        <v>90</v>
      </c>
      <c r="H468" s="12" t="str">
        <f>IFERROR(LOG10(J468/I468),"")</f>
        <v/>
      </c>
      <c r="I468" t="str">
        <f>IF(L468="","",L468/1000/1.022)</f>
        <v/>
      </c>
      <c r="J468">
        <f>IF(M468="","",M468/1000/1.022)</f>
        <v>4.8923679060665363E-7</v>
      </c>
      <c r="K468">
        <f>IF(N468="","",N468/1000/1.022)</f>
        <v>3.913894324853229E-7</v>
      </c>
      <c r="L468" s="6"/>
      <c r="M468" s="7">
        <v>5.0000000000000001E-4</v>
      </c>
      <c r="N468">
        <v>4.0000000000000002E-4</v>
      </c>
      <c r="P468" s="5" t="s">
        <v>47</v>
      </c>
      <c r="Q468" s="5" t="s">
        <v>48</v>
      </c>
    </row>
    <row r="469" spans="1:17" s="4" customFormat="1">
      <c r="A469" s="3">
        <v>34773</v>
      </c>
      <c r="B469" s="4">
        <v>10.005699999999999</v>
      </c>
      <c r="C469" s="4">
        <v>64.890100000000004</v>
      </c>
      <c r="D469" s="4">
        <v>1</v>
      </c>
      <c r="H469" s="12" t="str">
        <f>IFERROR(LOG10(J469/I469),"")</f>
        <v/>
      </c>
      <c r="I469" t="str">
        <f>IF(L469="","",L469/1000/1.022)</f>
        <v/>
      </c>
      <c r="J469">
        <f>IF(M469="","",M469/1000/1.022)</f>
        <v>1.4677103718199609E-6</v>
      </c>
      <c r="K469">
        <f>IF(N469="","",N469/1000/1.022)</f>
        <v>0</v>
      </c>
      <c r="L469" s="6"/>
      <c r="M469" s="7">
        <v>1.5E-3</v>
      </c>
      <c r="N469">
        <v>0</v>
      </c>
      <c r="P469" s="5" t="s">
        <v>47</v>
      </c>
      <c r="Q469" s="5" t="s">
        <v>48</v>
      </c>
    </row>
    <row r="470" spans="1:17" s="4" customFormat="1">
      <c r="A470" s="3">
        <v>34773</v>
      </c>
      <c r="B470" s="4">
        <v>10.005699999999999</v>
      </c>
      <c r="C470" s="4">
        <v>64.890100000000004</v>
      </c>
      <c r="D470" s="4">
        <v>6</v>
      </c>
      <c r="H470" s="12" t="str">
        <f>IFERROR(LOG10(J470/I470),"")</f>
        <v/>
      </c>
      <c r="I470" t="str">
        <f>IF(L470="","",L470/1000/1.022)</f>
        <v/>
      </c>
      <c r="J470">
        <f>IF(M470="","",M470/1000/1.022)</f>
        <v>9.7847358121330724E-8</v>
      </c>
      <c r="K470">
        <f>IF(N470="","",N470/1000/1.022)</f>
        <v>0</v>
      </c>
      <c r="L470" s="6"/>
      <c r="M470" s="7">
        <v>1E-4</v>
      </c>
      <c r="N470">
        <v>0</v>
      </c>
      <c r="P470" s="5" t="s">
        <v>47</v>
      </c>
      <c r="Q470" s="5" t="s">
        <v>48</v>
      </c>
    </row>
    <row r="471" spans="1:17" s="4" customFormat="1">
      <c r="A471" s="3">
        <v>34773</v>
      </c>
      <c r="B471" s="4">
        <v>10.005699999999999</v>
      </c>
      <c r="C471" s="4">
        <v>64.890100000000004</v>
      </c>
      <c r="D471" s="4">
        <v>20</v>
      </c>
      <c r="H471" s="12" t="str">
        <f>IFERROR(LOG10(J471/I471),"")</f>
        <v/>
      </c>
      <c r="I471" t="str">
        <f>IF(L471="","",L471/1000/1.022)</f>
        <v/>
      </c>
      <c r="J471" t="str">
        <f>IF(M471="","",M471/1000/1.022)</f>
        <v/>
      </c>
      <c r="K471" t="str">
        <f>IF(N471="","",N471/1000/1.022)</f>
        <v/>
      </c>
      <c r="L471" s="6"/>
      <c r="M471" s="7"/>
      <c r="N471"/>
      <c r="P471" s="5" t="s">
        <v>47</v>
      </c>
      <c r="Q471" s="5" t="s">
        <v>48</v>
      </c>
    </row>
    <row r="472" spans="1:17" s="4" customFormat="1">
      <c r="A472" s="3">
        <v>34773</v>
      </c>
      <c r="B472" s="4">
        <v>10.005699999999999</v>
      </c>
      <c r="C472" s="4">
        <v>64.890100000000004</v>
      </c>
      <c r="D472" s="4">
        <v>33</v>
      </c>
      <c r="H472" s="12" t="str">
        <f>IFERROR(LOG10(J472/I472),"")</f>
        <v/>
      </c>
      <c r="I472" t="str">
        <f>IF(L472="","",L472/1000/1.022)</f>
        <v/>
      </c>
      <c r="J472">
        <f>IF(M472="","",M472/1000/1.022)</f>
        <v>9.1976516634050873E-6</v>
      </c>
      <c r="K472">
        <f>IF(N472="","",N472/1000/1.022)</f>
        <v>0</v>
      </c>
      <c r="L472" s="6"/>
      <c r="M472" s="7">
        <v>9.4000000000000004E-3</v>
      </c>
      <c r="N472">
        <v>0</v>
      </c>
      <c r="P472" s="5" t="s">
        <v>47</v>
      </c>
      <c r="Q472" s="5" t="s">
        <v>48</v>
      </c>
    </row>
    <row r="473" spans="1:17" s="13" customFormat="1">
      <c r="A473" s="17">
        <v>34773</v>
      </c>
      <c r="B473" s="13">
        <v>10.005699999999999</v>
      </c>
      <c r="C473" s="13">
        <v>64.890100000000004</v>
      </c>
      <c r="D473" s="13">
        <v>46</v>
      </c>
      <c r="H473" s="12">
        <f>IFERROR(LOG10(J473/I473),"")</f>
        <v>0.14865301070874165</v>
      </c>
      <c r="I473">
        <f>IF(L473="","",L473/1000/1.022)</f>
        <v>4.7945205479452054E-6</v>
      </c>
      <c r="J473">
        <f>IF(M473="","",M473/1000/1.022)</f>
        <v>6.75146771037182E-6</v>
      </c>
      <c r="K473">
        <f>IF(N473="","",N473/1000/1.022)</f>
        <v>9.7847358121330724E-8</v>
      </c>
      <c r="L473" s="14">
        <v>4.8999999999999998E-3</v>
      </c>
      <c r="M473" s="15">
        <v>6.8999999999999999E-3</v>
      </c>
      <c r="N473">
        <v>1E-4</v>
      </c>
      <c r="P473" s="16" t="s">
        <v>47</v>
      </c>
      <c r="Q473" s="16" t="s">
        <v>48</v>
      </c>
    </row>
    <row r="474" spans="1:17" s="4" customFormat="1">
      <c r="A474" s="3">
        <v>34773</v>
      </c>
      <c r="B474" s="4">
        <v>10.005699999999999</v>
      </c>
      <c r="C474" s="4">
        <v>64.890100000000004</v>
      </c>
      <c r="D474" s="4">
        <v>65</v>
      </c>
      <c r="H474" s="12" t="str">
        <f>IFERROR(LOG10(J474/I474),"")</f>
        <v/>
      </c>
      <c r="I474" t="str">
        <f>IF(L474="","",L474/1000/1.022)</f>
        <v/>
      </c>
      <c r="J474">
        <f>IF(M474="","",M474/1000/1.022)</f>
        <v>4.2074363992172218E-6</v>
      </c>
      <c r="K474">
        <f>IF(N474="","",N474/1000/1.022)</f>
        <v>1.9569471624266145E-7</v>
      </c>
      <c r="L474" s="6"/>
      <c r="M474" s="7">
        <v>4.3E-3</v>
      </c>
      <c r="N474">
        <v>2.0000000000000001E-4</v>
      </c>
      <c r="P474" s="5" t="s">
        <v>47</v>
      </c>
      <c r="Q474" s="5" t="s">
        <v>48</v>
      </c>
    </row>
    <row r="475" spans="1:17" s="4" customFormat="1">
      <c r="A475" s="3">
        <v>34773</v>
      </c>
      <c r="B475" s="4">
        <v>10.005699999999999</v>
      </c>
      <c r="C475" s="4">
        <v>64.890100000000004</v>
      </c>
      <c r="D475" s="4">
        <v>73</v>
      </c>
      <c r="H475" s="12" t="str">
        <f>IFERROR(LOG10(J475/I475),"")</f>
        <v/>
      </c>
      <c r="I475" t="str">
        <f>IF(L475="","",L475/1000/1.022)</f>
        <v/>
      </c>
      <c r="J475">
        <f>IF(M475="","",M475/1000/1.022)</f>
        <v>1.076320939334638E-6</v>
      </c>
      <c r="K475">
        <f>IF(N475="","",N475/1000/1.022)</f>
        <v>3.913894324853229E-7</v>
      </c>
      <c r="L475" s="6"/>
      <c r="M475" s="7">
        <v>1.1000000000000001E-3</v>
      </c>
      <c r="N475">
        <v>4.0000000000000002E-4</v>
      </c>
      <c r="P475" s="5" t="s">
        <v>47</v>
      </c>
      <c r="Q475" s="5" t="s">
        <v>48</v>
      </c>
    </row>
    <row r="476" spans="1:17" s="4" customFormat="1">
      <c r="A476" s="3">
        <v>34773</v>
      </c>
      <c r="B476" s="4">
        <v>10.005699999999999</v>
      </c>
      <c r="C476" s="4">
        <v>64.890100000000004</v>
      </c>
      <c r="D476" s="4">
        <v>115</v>
      </c>
      <c r="H476" s="12" t="str">
        <f>IFERROR(LOG10(J476/I476),"")</f>
        <v/>
      </c>
      <c r="I476" t="str">
        <f>IF(L476="","",L476/1000/1.022)</f>
        <v/>
      </c>
      <c r="J476" t="str">
        <f>IF(M476="","",M476/1000/1.022)</f>
        <v/>
      </c>
      <c r="K476">
        <f>IF(N476="","",N476/1000/1.022)</f>
        <v>0</v>
      </c>
      <c r="L476" s="6"/>
      <c r="M476" s="7"/>
      <c r="N476">
        <v>0</v>
      </c>
      <c r="P476" s="5" t="s">
        <v>47</v>
      </c>
      <c r="Q476" s="5" t="s">
        <v>48</v>
      </c>
    </row>
    <row r="477" spans="1:17" s="4" customFormat="1">
      <c r="A477" s="3">
        <v>34773</v>
      </c>
      <c r="B477" s="4">
        <v>12.059799999999999</v>
      </c>
      <c r="C477" s="4">
        <v>65.003200000000007</v>
      </c>
      <c r="D477" s="4">
        <v>2</v>
      </c>
      <c r="H477" s="12" t="str">
        <f>IFERROR(LOG10(J477/I477),"")</f>
        <v/>
      </c>
      <c r="I477" t="str">
        <f>IF(L477="","",L477/1000/1.022)</f>
        <v/>
      </c>
      <c r="J477" t="str">
        <f>IF(M477="","",M477/1000/1.022)</f>
        <v/>
      </c>
      <c r="K477" t="str">
        <f>IF(N477="","",N477/1000/1.022)</f>
        <v/>
      </c>
      <c r="L477" s="6"/>
      <c r="M477" s="7"/>
      <c r="N477"/>
      <c r="P477" s="5" t="s">
        <v>47</v>
      </c>
      <c r="Q477" s="5" t="s">
        <v>48</v>
      </c>
    </row>
    <row r="478" spans="1:17" s="4" customFormat="1">
      <c r="A478" s="3">
        <v>34773</v>
      </c>
      <c r="B478" s="4">
        <v>12.059799999999999</v>
      </c>
      <c r="C478" s="4">
        <v>65.003200000000007</v>
      </c>
      <c r="D478" s="4">
        <v>8</v>
      </c>
      <c r="H478" s="12" t="str">
        <f>IFERROR(LOG10(J478/I478),"")</f>
        <v/>
      </c>
      <c r="I478" t="str">
        <f>IF(L478="","",L478/1000/1.022)</f>
        <v/>
      </c>
      <c r="J478" t="str">
        <f>IF(M478="","",M478/1000/1.022)</f>
        <v/>
      </c>
      <c r="K478">
        <f>IF(N478="","",N478/1000/1.022)</f>
        <v>4.8923679060665363E-7</v>
      </c>
      <c r="L478" s="6"/>
      <c r="M478" s="7"/>
      <c r="N478">
        <v>5.0000000000000001E-4</v>
      </c>
      <c r="P478" s="5" t="s">
        <v>47</v>
      </c>
      <c r="Q478" s="5" t="s">
        <v>48</v>
      </c>
    </row>
    <row r="479" spans="1:17" s="4" customFormat="1">
      <c r="A479" s="3">
        <v>34773</v>
      </c>
      <c r="B479" s="4">
        <v>12.059799999999999</v>
      </c>
      <c r="C479" s="4">
        <v>65.003200000000007</v>
      </c>
      <c r="D479" s="4">
        <v>21</v>
      </c>
      <c r="H479" s="12" t="str">
        <f>IFERROR(LOG10(J479/I479),"")</f>
        <v/>
      </c>
      <c r="I479" t="str">
        <f>IF(L479="","",L479/1000/1.022)</f>
        <v/>
      </c>
      <c r="J479" t="str">
        <f>IF(M479="","",M479/1000/1.022)</f>
        <v/>
      </c>
      <c r="K479" t="str">
        <f>IF(N479="","",N479/1000/1.022)</f>
        <v/>
      </c>
      <c r="L479" s="6"/>
      <c r="M479" s="7"/>
      <c r="N479"/>
      <c r="P479" s="5" t="s">
        <v>47</v>
      </c>
      <c r="Q479" s="5" t="s">
        <v>48</v>
      </c>
    </row>
    <row r="480" spans="1:17" s="4" customFormat="1">
      <c r="A480" s="3">
        <v>34773</v>
      </c>
      <c r="B480" s="4">
        <v>12.059799999999999</v>
      </c>
      <c r="C480" s="4">
        <v>65.003200000000007</v>
      </c>
      <c r="D480" s="4">
        <v>33</v>
      </c>
      <c r="H480" s="12" t="str">
        <f>IFERROR(LOG10(J480/I480),"")</f>
        <v/>
      </c>
      <c r="I480" t="str">
        <f>IF(L480="","",L480/1000/1.022)</f>
        <v/>
      </c>
      <c r="J480" t="str">
        <f>IF(M480="","",M480/1000/1.022)</f>
        <v/>
      </c>
      <c r="K480">
        <f>IF(N480="","",N480/1000/1.022)</f>
        <v>7.8277886497064579E-7</v>
      </c>
      <c r="L480" s="6"/>
      <c r="M480" s="7"/>
      <c r="N480">
        <v>8.0000000000000004E-4</v>
      </c>
      <c r="P480" s="5" t="s">
        <v>47</v>
      </c>
      <c r="Q480" s="5" t="s">
        <v>48</v>
      </c>
    </row>
    <row r="481" spans="1:17" s="4" customFormat="1">
      <c r="A481" s="3">
        <v>34773</v>
      </c>
      <c r="B481" s="4">
        <v>12.059799999999999</v>
      </c>
      <c r="C481" s="4">
        <v>65.003200000000007</v>
      </c>
      <c r="D481" s="4">
        <v>49</v>
      </c>
      <c r="H481" s="12" t="str">
        <f>IFERROR(LOG10(J481/I481),"")</f>
        <v/>
      </c>
      <c r="I481" t="str">
        <f>IF(L481="","",L481/1000/1.022)</f>
        <v/>
      </c>
      <c r="J481" t="str">
        <f>IF(M481="","",M481/1000/1.022)</f>
        <v/>
      </c>
      <c r="K481">
        <f>IF(N481="","",N481/1000/1.022)</f>
        <v>1.36986301369863E-6</v>
      </c>
      <c r="L481" s="6"/>
      <c r="M481" s="7"/>
      <c r="N481">
        <v>1.4E-3</v>
      </c>
      <c r="P481" s="5" t="s">
        <v>47</v>
      </c>
      <c r="Q481" s="5" t="s">
        <v>48</v>
      </c>
    </row>
    <row r="482" spans="1:17" s="4" customFormat="1">
      <c r="A482" s="3">
        <v>34773</v>
      </c>
      <c r="B482" s="4">
        <v>12.059799999999999</v>
      </c>
      <c r="C482" s="4">
        <v>65.003200000000007</v>
      </c>
      <c r="D482" s="4">
        <v>68</v>
      </c>
      <c r="H482" s="12" t="str">
        <f>IFERROR(LOG10(J482/I482),"")</f>
        <v/>
      </c>
      <c r="I482" t="str">
        <f>IF(L482="","",L482/1000/1.022)</f>
        <v/>
      </c>
      <c r="J482" t="str">
        <f>IF(M482="","",M482/1000/1.022)</f>
        <v/>
      </c>
      <c r="K482">
        <f>IF(N482="","",N482/1000/1.022)</f>
        <v>1.1741682974559686E-6</v>
      </c>
      <c r="L482" s="6"/>
      <c r="M482" s="7"/>
      <c r="N482">
        <v>1.1999999999999999E-3</v>
      </c>
      <c r="P482" s="5" t="s">
        <v>47</v>
      </c>
      <c r="Q482" s="5" t="s">
        <v>48</v>
      </c>
    </row>
    <row r="483" spans="1:17" s="4" customFormat="1">
      <c r="A483" s="3">
        <v>34773</v>
      </c>
      <c r="B483" s="4">
        <v>12.059799999999999</v>
      </c>
      <c r="C483" s="4">
        <v>65.003200000000007</v>
      </c>
      <c r="D483" s="4">
        <v>84</v>
      </c>
      <c r="H483" s="12" t="str">
        <f>IFERROR(LOG10(J483/I483),"")</f>
        <v/>
      </c>
      <c r="I483" t="str">
        <f>IF(L483="","",L483/1000/1.022)</f>
        <v/>
      </c>
      <c r="J483" t="str">
        <f>IF(M483="","",M483/1000/1.022)</f>
        <v/>
      </c>
      <c r="K483">
        <f>IF(N483="","",N483/1000/1.022)</f>
        <v>1.9569471624266145E-7</v>
      </c>
      <c r="L483" s="6"/>
      <c r="M483" s="7"/>
      <c r="N483">
        <v>2.0000000000000001E-4</v>
      </c>
      <c r="P483" s="5" t="s">
        <v>47</v>
      </c>
      <c r="Q483" s="5" t="s">
        <v>48</v>
      </c>
    </row>
    <row r="484" spans="1:17" s="4" customFormat="1">
      <c r="A484" s="3">
        <v>34773</v>
      </c>
      <c r="B484" s="4">
        <v>12.059799999999999</v>
      </c>
      <c r="C484" s="4">
        <v>65.003200000000007</v>
      </c>
      <c r="D484" s="4">
        <v>95</v>
      </c>
      <c r="H484" s="12" t="str">
        <f>IFERROR(LOG10(J484/I484),"")</f>
        <v/>
      </c>
      <c r="I484" t="str">
        <f>IF(L484="","",L484/1000/1.022)</f>
        <v/>
      </c>
      <c r="J484" t="str">
        <f>IF(M484="","",M484/1000/1.022)</f>
        <v/>
      </c>
      <c r="K484" t="str">
        <f>IF(N484="","",N484/1000/1.022)</f>
        <v/>
      </c>
      <c r="L484" s="6"/>
      <c r="M484" s="7"/>
      <c r="N484"/>
      <c r="P484" s="5" t="s">
        <v>47</v>
      </c>
      <c r="Q484" s="5" t="s">
        <v>48</v>
      </c>
    </row>
    <row r="485" spans="1:17" s="4" customFormat="1">
      <c r="A485" s="3">
        <v>34773</v>
      </c>
      <c r="B485" s="4">
        <v>13.255599999999999</v>
      </c>
      <c r="C485" s="4">
        <v>64.994299999999996</v>
      </c>
      <c r="D485" s="4">
        <v>7</v>
      </c>
      <c r="H485" s="12" t="str">
        <f>IFERROR(LOG10(J485/I485),"")</f>
        <v/>
      </c>
      <c r="I485" t="str">
        <f>IF(L485="","",L485/1000/1.022)</f>
        <v/>
      </c>
      <c r="J485" t="str">
        <f>IF(M485="","",M485/1000/1.022)</f>
        <v/>
      </c>
      <c r="K485">
        <f>IF(N485="","",N485/1000/1.022)</f>
        <v>2.9354207436399216E-7</v>
      </c>
      <c r="L485" s="6"/>
      <c r="M485" s="7"/>
      <c r="N485">
        <v>2.9999999999999997E-4</v>
      </c>
      <c r="P485" s="5" t="s">
        <v>47</v>
      </c>
      <c r="Q485" s="5" t="s">
        <v>48</v>
      </c>
    </row>
    <row r="486" spans="1:17" s="4" customFormat="1">
      <c r="A486" s="3">
        <v>34773</v>
      </c>
      <c r="B486" s="4">
        <v>13.255599999999999</v>
      </c>
      <c r="C486" s="4">
        <v>64.994299999999996</v>
      </c>
      <c r="D486" s="4">
        <v>33</v>
      </c>
      <c r="H486" s="12" t="str">
        <f>IFERROR(LOG10(J486/I486),"")</f>
        <v/>
      </c>
      <c r="I486" t="str">
        <f>IF(L486="","",L486/1000/1.022)</f>
        <v/>
      </c>
      <c r="J486" t="str">
        <f>IF(M486="","",M486/1000/1.022)</f>
        <v/>
      </c>
      <c r="K486" t="str">
        <f>IF(N486="","",N486/1000/1.022)</f>
        <v/>
      </c>
      <c r="L486" s="6"/>
      <c r="M486" s="7"/>
      <c r="N486"/>
      <c r="P486" s="5" t="s">
        <v>47</v>
      </c>
      <c r="Q486" s="5" t="s">
        <v>48</v>
      </c>
    </row>
    <row r="487" spans="1:17" s="4" customFormat="1">
      <c r="A487" s="3">
        <v>34773</v>
      </c>
      <c r="B487" s="4">
        <v>13.255599999999999</v>
      </c>
      <c r="C487" s="4">
        <v>64.994299999999996</v>
      </c>
      <c r="D487" s="4">
        <v>69</v>
      </c>
      <c r="H487" s="12" t="str">
        <f>IFERROR(LOG10(J487/I487),"")</f>
        <v/>
      </c>
      <c r="I487" t="str">
        <f>IF(L487="","",L487/1000/1.022)</f>
        <v/>
      </c>
      <c r="J487" t="str">
        <f>IF(M487="","",M487/1000/1.022)</f>
        <v/>
      </c>
      <c r="K487" t="str">
        <f>IF(N487="","",N487/1000/1.022)</f>
        <v/>
      </c>
      <c r="L487" s="6"/>
      <c r="M487" s="7"/>
      <c r="N487"/>
      <c r="P487" s="5" t="s">
        <v>47</v>
      </c>
      <c r="Q487" s="5" t="s">
        <v>48</v>
      </c>
    </row>
    <row r="488" spans="1:17" s="4" customFormat="1">
      <c r="A488" s="3">
        <v>34773</v>
      </c>
      <c r="B488" s="4">
        <v>13.255599999999999</v>
      </c>
      <c r="C488" s="4">
        <v>64.994299999999996</v>
      </c>
      <c r="D488" s="4">
        <v>84</v>
      </c>
      <c r="H488" s="12" t="str">
        <f>IFERROR(LOG10(J488/I488),"")</f>
        <v/>
      </c>
      <c r="I488" t="str">
        <f>IF(L488="","",L488/1000/1.022)</f>
        <v/>
      </c>
      <c r="J488" t="str">
        <f>IF(M488="","",M488/1000/1.022)</f>
        <v/>
      </c>
      <c r="K488" t="str">
        <f>IF(N488="","",N488/1000/1.022)</f>
        <v/>
      </c>
      <c r="L488" s="6"/>
      <c r="M488" s="7"/>
      <c r="N488"/>
      <c r="P488" s="5" t="s">
        <v>47</v>
      </c>
      <c r="Q488" s="5" t="s">
        <v>48</v>
      </c>
    </row>
    <row r="489" spans="1:17" s="4" customFormat="1">
      <c r="A489" s="3">
        <v>34773</v>
      </c>
      <c r="B489" s="4">
        <v>14.480600000000001</v>
      </c>
      <c r="C489" s="4">
        <v>64.898499999999999</v>
      </c>
      <c r="D489" s="4">
        <v>5</v>
      </c>
      <c r="H489" s="12" t="str">
        <f>IFERROR(LOG10(J489/I489),"")</f>
        <v/>
      </c>
      <c r="I489" t="str">
        <f>IF(L489="","",L489/1000/1.022)</f>
        <v/>
      </c>
      <c r="J489">
        <f>IF(M489="","",M489/1000/1.022)</f>
        <v>1.2720156555772993E-6</v>
      </c>
      <c r="K489">
        <f>IF(N489="","",N489/1000/1.022)</f>
        <v>4.8923679060665363E-7</v>
      </c>
      <c r="L489" s="6"/>
      <c r="M489" s="7">
        <v>1.2999999999999999E-3</v>
      </c>
      <c r="N489">
        <v>5.0000000000000001E-4</v>
      </c>
      <c r="P489" s="5" t="s">
        <v>47</v>
      </c>
      <c r="Q489" s="5" t="s">
        <v>48</v>
      </c>
    </row>
    <row r="490" spans="1:17" s="4" customFormat="1">
      <c r="A490" s="3">
        <v>34773</v>
      </c>
      <c r="B490" s="4">
        <v>14.480600000000001</v>
      </c>
      <c r="C490" s="4">
        <v>64.898499999999999</v>
      </c>
      <c r="D490" s="4">
        <v>16</v>
      </c>
      <c r="H490" s="12" t="str">
        <f>IFERROR(LOG10(J490/I490),"")</f>
        <v/>
      </c>
      <c r="I490" t="str">
        <f>IF(L490="","",L490/1000/1.022)</f>
        <v/>
      </c>
      <c r="J490" t="str">
        <f>IF(M490="","",M490/1000/1.022)</f>
        <v/>
      </c>
      <c r="K490">
        <f>IF(N490="","",N490/1000/1.022)</f>
        <v>6.84931506849315E-7</v>
      </c>
      <c r="L490" s="6"/>
      <c r="M490" s="7"/>
      <c r="N490">
        <v>6.9999999999999999E-4</v>
      </c>
      <c r="P490" s="5" t="s">
        <v>47</v>
      </c>
      <c r="Q490" s="5" t="s">
        <v>48</v>
      </c>
    </row>
    <row r="491" spans="1:17" s="4" customFormat="1">
      <c r="A491" s="3">
        <v>34773</v>
      </c>
      <c r="B491" s="4">
        <v>14.480600000000001</v>
      </c>
      <c r="C491" s="4">
        <v>64.898499999999999</v>
      </c>
      <c r="D491" s="4">
        <v>26</v>
      </c>
      <c r="H491" s="12" t="str">
        <f>IFERROR(LOG10(J491/I491),"")</f>
        <v/>
      </c>
      <c r="I491" t="str">
        <f>IF(L491="","",L491/1000/1.022)</f>
        <v/>
      </c>
      <c r="J491">
        <f>IF(M491="","",M491/1000/1.022)</f>
        <v>1.1448140900195694E-5</v>
      </c>
      <c r="K491">
        <f>IF(N491="","",N491/1000/1.022)</f>
        <v>1.761252446183953E-6</v>
      </c>
      <c r="L491" s="6"/>
      <c r="M491" s="7">
        <v>1.17E-2</v>
      </c>
      <c r="N491">
        <v>1.8E-3</v>
      </c>
      <c r="P491" s="5" t="s">
        <v>47</v>
      </c>
      <c r="Q491" s="5" t="s">
        <v>48</v>
      </c>
    </row>
    <row r="492" spans="1:17" s="4" customFormat="1">
      <c r="A492" s="3">
        <v>34773</v>
      </c>
      <c r="B492" s="4">
        <v>14.480600000000001</v>
      </c>
      <c r="C492" s="4">
        <v>64.898499999999999</v>
      </c>
      <c r="D492" s="4">
        <v>37</v>
      </c>
      <c r="H492" s="12" t="str">
        <f>IFERROR(LOG10(J492/I492),"")</f>
        <v/>
      </c>
      <c r="I492" t="str">
        <f>IF(L492="","",L492/1000/1.022)</f>
        <v/>
      </c>
      <c r="J492" t="str">
        <f>IF(M492="","",M492/1000/1.022)</f>
        <v/>
      </c>
      <c r="K492">
        <f>IF(N492="","",N492/1000/1.022)</f>
        <v>6.84931506849315E-7</v>
      </c>
      <c r="L492" s="6"/>
      <c r="M492" s="7"/>
      <c r="N492">
        <v>6.9999999999999999E-4</v>
      </c>
      <c r="P492" s="5" t="s">
        <v>47</v>
      </c>
      <c r="Q492" s="5" t="s">
        <v>48</v>
      </c>
    </row>
    <row r="493" spans="1:17" s="4" customFormat="1">
      <c r="A493" s="3">
        <v>34773</v>
      </c>
      <c r="B493" s="4">
        <v>14.480600000000001</v>
      </c>
      <c r="C493" s="4">
        <v>64.898499999999999</v>
      </c>
      <c r="D493" s="4">
        <v>52</v>
      </c>
      <c r="H493" s="12" t="str">
        <f>IFERROR(LOG10(J493/I493),"")</f>
        <v/>
      </c>
      <c r="I493" t="str">
        <f>IF(L493="","",L493/1000/1.022)</f>
        <v/>
      </c>
      <c r="J493">
        <f>IF(M493="","",M493/1000/1.022)</f>
        <v>3.8160469667318982E-6</v>
      </c>
      <c r="K493">
        <f>IF(N493="","",N493/1000/1.022)</f>
        <v>1.4677103718199609E-6</v>
      </c>
      <c r="L493" s="6"/>
      <c r="M493" s="7">
        <v>3.8999999999999998E-3</v>
      </c>
      <c r="N493">
        <v>1.5E-3</v>
      </c>
      <c r="P493" s="5" t="s">
        <v>47</v>
      </c>
      <c r="Q493" s="5" t="s">
        <v>48</v>
      </c>
    </row>
    <row r="494" spans="1:17" s="13" customFormat="1">
      <c r="A494" s="17">
        <v>34773</v>
      </c>
      <c r="B494" s="13">
        <v>14.480600000000001</v>
      </c>
      <c r="C494" s="13">
        <v>64.898499999999999</v>
      </c>
      <c r="D494" s="13">
        <v>64</v>
      </c>
      <c r="H494" s="12">
        <f>IFERROR(LOG10(J494/I494),"")</f>
        <v>-0.34678748622465638</v>
      </c>
      <c r="I494">
        <f>IF(L494="","",L494/1000/1.022)</f>
        <v>1.9569471624266145E-6</v>
      </c>
      <c r="J494">
        <f>IF(M494="","",M494/1000/1.022)</f>
        <v>8.8062622309197648E-7</v>
      </c>
      <c r="K494">
        <f>IF(N494="","",N494/1000/1.022)</f>
        <v>9.7847358121330727E-7</v>
      </c>
      <c r="L494" s="14">
        <v>2E-3</v>
      </c>
      <c r="M494" s="15">
        <v>8.9999999999999998E-4</v>
      </c>
      <c r="N494">
        <v>1E-3</v>
      </c>
      <c r="P494" s="16" t="s">
        <v>47</v>
      </c>
      <c r="Q494" s="16" t="s">
        <v>48</v>
      </c>
    </row>
    <row r="495" spans="1:17" s="4" customFormat="1">
      <c r="A495" s="3">
        <v>34773</v>
      </c>
      <c r="B495" s="4">
        <v>14.480600000000001</v>
      </c>
      <c r="C495" s="4">
        <v>64.898499999999999</v>
      </c>
      <c r="D495" s="4">
        <v>93</v>
      </c>
      <c r="H495" s="12" t="str">
        <f>IFERROR(LOG10(J495/I495),"")</f>
        <v/>
      </c>
      <c r="I495" t="str">
        <f>IF(L495="","",L495/1000/1.022)</f>
        <v/>
      </c>
      <c r="J495" t="str">
        <f>IF(M495="","",M495/1000/1.022)</f>
        <v/>
      </c>
      <c r="K495">
        <f>IF(N495="","",N495/1000/1.022)</f>
        <v>3.913894324853229E-7</v>
      </c>
      <c r="L495" s="6"/>
      <c r="M495" s="7"/>
      <c r="N495">
        <v>4.0000000000000002E-4</v>
      </c>
      <c r="P495" s="5" t="s">
        <v>47</v>
      </c>
      <c r="Q495" s="5" t="s">
        <v>48</v>
      </c>
    </row>
    <row r="496" spans="1:17" s="4" customFormat="1">
      <c r="A496" s="3">
        <v>34773</v>
      </c>
      <c r="B496" s="4">
        <v>14.835000000000001</v>
      </c>
      <c r="C496" s="4">
        <v>64.244699999999995</v>
      </c>
      <c r="D496" s="4">
        <v>2</v>
      </c>
      <c r="H496" s="12" t="str">
        <f>IFERROR(LOG10(J496/I496),"")</f>
        <v/>
      </c>
      <c r="I496" t="str">
        <f>IF(L496="","",L496/1000/1.022)</f>
        <v/>
      </c>
      <c r="J496" t="str">
        <f>IF(M496="","",M496/1000/1.022)</f>
        <v/>
      </c>
      <c r="K496" t="str">
        <f>IF(N496="","",N496/1000/1.022)</f>
        <v/>
      </c>
      <c r="L496" s="6"/>
      <c r="M496" s="7"/>
      <c r="N496"/>
      <c r="P496" s="5" t="s">
        <v>47</v>
      </c>
      <c r="Q496" s="5" t="s">
        <v>48</v>
      </c>
    </row>
    <row r="497" spans="1:17" s="4" customFormat="1">
      <c r="A497" s="3">
        <v>34773</v>
      </c>
      <c r="B497" s="4">
        <v>14.835000000000001</v>
      </c>
      <c r="C497" s="4">
        <v>64.244699999999995</v>
      </c>
      <c r="D497" s="4">
        <v>5</v>
      </c>
      <c r="H497" s="12" t="str">
        <f>IFERROR(LOG10(J497/I497),"")</f>
        <v/>
      </c>
      <c r="I497" t="str">
        <f>IF(L497="","",L497/1000/1.022)</f>
        <v/>
      </c>
      <c r="J497" t="str">
        <f>IF(M497="","",M497/1000/1.022)</f>
        <v/>
      </c>
      <c r="K497" t="str">
        <f>IF(N497="","",N497/1000/1.022)</f>
        <v/>
      </c>
      <c r="L497" s="6"/>
      <c r="M497" s="7"/>
      <c r="N497"/>
      <c r="P497" s="5" t="s">
        <v>47</v>
      </c>
      <c r="Q497" s="5" t="s">
        <v>48</v>
      </c>
    </row>
    <row r="498" spans="1:17" s="4" customFormat="1">
      <c r="A498" s="3">
        <v>34773</v>
      </c>
      <c r="B498" s="4">
        <v>14.835000000000001</v>
      </c>
      <c r="C498" s="4">
        <v>64.244699999999995</v>
      </c>
      <c r="D498" s="4">
        <v>16</v>
      </c>
      <c r="H498" s="12" t="str">
        <f>IFERROR(LOG10(J498/I498),"")</f>
        <v/>
      </c>
      <c r="I498" t="str">
        <f>IF(L498="","",L498/1000/1.022)</f>
        <v/>
      </c>
      <c r="J498" t="str">
        <f>IF(M498="","",M498/1000/1.022)</f>
        <v/>
      </c>
      <c r="K498" t="str">
        <f>IF(N498="","",N498/1000/1.022)</f>
        <v/>
      </c>
      <c r="L498" s="6"/>
      <c r="M498" s="7"/>
      <c r="N498"/>
      <c r="P498" s="5" t="s">
        <v>47</v>
      </c>
      <c r="Q498" s="5" t="s">
        <v>48</v>
      </c>
    </row>
    <row r="499" spans="1:17" s="4" customFormat="1">
      <c r="A499" s="3">
        <v>34773</v>
      </c>
      <c r="B499" s="4">
        <v>14.835000000000001</v>
      </c>
      <c r="C499" s="4">
        <v>64.244699999999995</v>
      </c>
      <c r="D499" s="4">
        <v>26</v>
      </c>
      <c r="H499" s="12" t="str">
        <f>IFERROR(LOG10(J499/I499),"")</f>
        <v/>
      </c>
      <c r="I499" t="str">
        <f>IF(L499="","",L499/1000/1.022)</f>
        <v/>
      </c>
      <c r="J499" t="str">
        <f>IF(M499="","",M499/1000/1.022)</f>
        <v/>
      </c>
      <c r="K499" t="str">
        <f>IF(N499="","",N499/1000/1.022)</f>
        <v/>
      </c>
      <c r="L499" s="6"/>
      <c r="M499" s="7"/>
      <c r="N499"/>
      <c r="P499" s="5" t="s">
        <v>47</v>
      </c>
      <c r="Q499" s="5" t="s">
        <v>48</v>
      </c>
    </row>
    <row r="500" spans="1:17" s="4" customFormat="1">
      <c r="A500" s="3">
        <v>34773</v>
      </c>
      <c r="B500" s="4">
        <v>14.835000000000001</v>
      </c>
      <c r="C500" s="4">
        <v>64.244699999999995</v>
      </c>
      <c r="D500" s="4">
        <v>37</v>
      </c>
      <c r="H500" s="12" t="str">
        <f>IFERROR(LOG10(J500/I500),"")</f>
        <v/>
      </c>
      <c r="I500" t="str">
        <f>IF(L500="","",L500/1000/1.022)</f>
        <v/>
      </c>
      <c r="J500" t="str">
        <f>IF(M500="","",M500/1000/1.022)</f>
        <v/>
      </c>
      <c r="K500" t="str">
        <f>IF(N500="","",N500/1000/1.022)</f>
        <v/>
      </c>
      <c r="L500" s="6"/>
      <c r="M500" s="7"/>
      <c r="N500"/>
      <c r="P500" s="5" t="s">
        <v>47</v>
      </c>
      <c r="Q500" s="5" t="s">
        <v>48</v>
      </c>
    </row>
    <row r="501" spans="1:17" s="4" customFormat="1">
      <c r="A501" s="3">
        <v>34773</v>
      </c>
      <c r="B501" s="4">
        <v>14.835000000000001</v>
      </c>
      <c r="C501" s="4">
        <v>64.244699999999995</v>
      </c>
      <c r="D501" s="4">
        <v>52</v>
      </c>
      <c r="H501" s="12" t="str">
        <f>IFERROR(LOG10(J501/I501),"")</f>
        <v/>
      </c>
      <c r="I501" t="str">
        <f>IF(L501="","",L501/1000/1.022)</f>
        <v/>
      </c>
      <c r="J501" t="str">
        <f>IF(M501="","",M501/1000/1.022)</f>
        <v/>
      </c>
      <c r="K501" t="str">
        <f>IF(N501="","",N501/1000/1.022)</f>
        <v/>
      </c>
      <c r="L501" s="6"/>
      <c r="M501" s="7"/>
      <c r="N501"/>
      <c r="P501" s="5" t="s">
        <v>47</v>
      </c>
      <c r="Q501" s="5" t="s">
        <v>48</v>
      </c>
    </row>
    <row r="502" spans="1:17" s="4" customFormat="1">
      <c r="A502" s="3">
        <v>34773</v>
      </c>
      <c r="B502" s="4">
        <v>14.835000000000001</v>
      </c>
      <c r="C502" s="4">
        <v>64.244699999999995</v>
      </c>
      <c r="D502" s="4">
        <v>64</v>
      </c>
      <c r="H502" s="12" t="str">
        <f>IFERROR(LOG10(J502/I502),"")</f>
        <v/>
      </c>
      <c r="I502" t="str">
        <f>IF(L502="","",L502/1000/1.022)</f>
        <v/>
      </c>
      <c r="J502" t="str">
        <f>IF(M502="","",M502/1000/1.022)</f>
        <v/>
      </c>
      <c r="K502" t="str">
        <f>IF(N502="","",N502/1000/1.022)</f>
        <v/>
      </c>
      <c r="L502" s="6"/>
      <c r="M502" s="7"/>
      <c r="N502"/>
      <c r="P502" s="5" t="s">
        <v>47</v>
      </c>
      <c r="Q502" s="5" t="s">
        <v>48</v>
      </c>
    </row>
    <row r="503" spans="1:17" s="4" customFormat="1">
      <c r="A503" s="3">
        <v>34773</v>
      </c>
      <c r="B503" s="4">
        <v>14.835000000000001</v>
      </c>
      <c r="C503" s="4">
        <v>64.244699999999995</v>
      </c>
      <c r="D503" s="4">
        <v>93</v>
      </c>
      <c r="H503" s="12" t="str">
        <f>IFERROR(LOG10(J503/I503),"")</f>
        <v/>
      </c>
      <c r="I503" t="str">
        <f>IF(L503="","",L503/1000/1.022)</f>
        <v/>
      </c>
      <c r="J503" t="str">
        <f>IF(M503="","",M503/1000/1.022)</f>
        <v/>
      </c>
      <c r="K503" t="str">
        <f>IF(N503="","",N503/1000/1.022)</f>
        <v/>
      </c>
      <c r="L503" s="6"/>
      <c r="M503" s="7"/>
      <c r="N503"/>
      <c r="P503" s="5" t="s">
        <v>47</v>
      </c>
      <c r="Q503" s="5" t="s">
        <v>48</v>
      </c>
    </row>
    <row r="504" spans="1:17" s="4" customFormat="1">
      <c r="A504" s="3">
        <v>34773</v>
      </c>
      <c r="B504" s="4">
        <v>15.2499</v>
      </c>
      <c r="C504" s="4">
        <v>63.4998</v>
      </c>
      <c r="D504" s="4">
        <v>2</v>
      </c>
      <c r="H504" s="12" t="str">
        <f>IFERROR(LOG10(J504/I504),"")</f>
        <v/>
      </c>
      <c r="I504" t="str">
        <f>IF(L504="","",L504/1000/1.022)</f>
        <v/>
      </c>
      <c r="J504" t="str">
        <f>IF(M504="","",M504/1000/1.022)</f>
        <v/>
      </c>
      <c r="K504">
        <f>IF(N504="","",N504/1000/1.022)</f>
        <v>4.10958904109589E-6</v>
      </c>
      <c r="L504" s="6"/>
      <c r="M504" s="7"/>
      <c r="N504">
        <v>4.1999999999999997E-3</v>
      </c>
      <c r="P504" s="5" t="s">
        <v>47</v>
      </c>
      <c r="Q504" s="5" t="s">
        <v>48</v>
      </c>
    </row>
    <row r="505" spans="1:17" s="13" customFormat="1">
      <c r="A505" s="17">
        <v>34773</v>
      </c>
      <c r="B505" s="13">
        <v>15.2499</v>
      </c>
      <c r="C505" s="13">
        <v>63.4998</v>
      </c>
      <c r="D505" s="13">
        <v>6</v>
      </c>
      <c r="H505" s="12">
        <f>IFERROR(LOG10(J505/I505),"")</f>
        <v>0.30756086282293893</v>
      </c>
      <c r="I505">
        <f>IF(L505="","",L505/1000/1.022)</f>
        <v>3.2289628180039141E-6</v>
      </c>
      <c r="J505">
        <f>IF(M505="","",M505/1000/1.022)</f>
        <v>6.5557729941291582E-6</v>
      </c>
      <c r="K505">
        <f>IF(N505="","",N505/1000/1.022)</f>
        <v>2.9354207436399218E-6</v>
      </c>
      <c r="L505" s="14">
        <v>3.3E-3</v>
      </c>
      <c r="M505" s="15">
        <v>6.7000000000000002E-3</v>
      </c>
      <c r="N505">
        <v>3.0000000000000001E-3</v>
      </c>
      <c r="P505" s="16" t="s">
        <v>47</v>
      </c>
      <c r="Q505" s="16" t="s">
        <v>48</v>
      </c>
    </row>
    <row r="506" spans="1:17" s="13" customFormat="1">
      <c r="A506" s="17">
        <v>34773</v>
      </c>
      <c r="B506" s="13">
        <v>15.2499</v>
      </c>
      <c r="C506" s="13">
        <v>63.4998</v>
      </c>
      <c r="D506" s="13">
        <v>15</v>
      </c>
      <c r="H506" s="12">
        <f>IFERROR(LOG10(J506/I506),"")</f>
        <v>0.25787307863383141</v>
      </c>
      <c r="I506">
        <f>IF(L506="","",L506/1000/1.022)</f>
        <v>3.6203522504892368E-6</v>
      </c>
      <c r="J506">
        <f>IF(M506="","",M506/1000/1.022)</f>
        <v>6.5557729941291582E-6</v>
      </c>
      <c r="K506">
        <f>IF(N506="","",N506/1000/1.022)</f>
        <v>1.6634050880626221E-6</v>
      </c>
      <c r="L506" s="14">
        <v>3.7000000000000002E-3</v>
      </c>
      <c r="M506" s="15">
        <v>6.7000000000000002E-3</v>
      </c>
      <c r="N506">
        <v>1.6999999999999999E-3</v>
      </c>
      <c r="P506" s="16" t="s">
        <v>47</v>
      </c>
      <c r="Q506" s="16" t="s">
        <v>48</v>
      </c>
    </row>
    <row r="507" spans="1:17" s="4" customFormat="1">
      <c r="A507" s="3">
        <v>34773</v>
      </c>
      <c r="B507" s="4">
        <v>15.2499</v>
      </c>
      <c r="C507" s="4">
        <v>63.4998</v>
      </c>
      <c r="D507" s="4">
        <v>26</v>
      </c>
      <c r="H507" s="12" t="str">
        <f>IFERROR(LOG10(J507/I507),"")</f>
        <v/>
      </c>
      <c r="I507" t="str">
        <f>IF(L507="","",L507/1000/1.022)</f>
        <v/>
      </c>
      <c r="J507" t="str">
        <f>IF(M507="","",M507/1000/1.022)</f>
        <v/>
      </c>
      <c r="K507">
        <f>IF(N507="","",N507/1000/1.022)</f>
        <v>6.4579256360078281E-6</v>
      </c>
      <c r="L507" s="6"/>
      <c r="M507" s="7"/>
      <c r="N507">
        <v>6.6E-3</v>
      </c>
      <c r="P507" s="5" t="s">
        <v>47</v>
      </c>
      <c r="Q507" s="5" t="s">
        <v>48</v>
      </c>
    </row>
    <row r="508" spans="1:17" s="4" customFormat="1">
      <c r="A508" s="3">
        <v>34773</v>
      </c>
      <c r="B508" s="4">
        <v>15.2499</v>
      </c>
      <c r="C508" s="4">
        <v>63.4998</v>
      </c>
      <c r="D508" s="4">
        <v>37</v>
      </c>
      <c r="H508" s="12" t="str">
        <f>IFERROR(LOG10(J508/I508),"")</f>
        <v/>
      </c>
      <c r="I508">
        <f>IF(L508="","",L508/1000/1.022)</f>
        <v>2.5440313111545986E-6</v>
      </c>
      <c r="J508" t="str">
        <f>IF(M508="","",M508/1000/1.022)</f>
        <v/>
      </c>
      <c r="K508">
        <f>IF(N508="","",N508/1000/1.022)</f>
        <v>1.0567514677103718E-5</v>
      </c>
      <c r="L508" s="6">
        <v>2.5999999999999999E-3</v>
      </c>
      <c r="M508" s="7"/>
      <c r="N508">
        <v>1.0800000000000001E-2</v>
      </c>
      <c r="P508" s="5" t="s">
        <v>47</v>
      </c>
      <c r="Q508" s="5" t="s">
        <v>48</v>
      </c>
    </row>
    <row r="509" spans="1:17" s="4" customFormat="1">
      <c r="A509" s="3">
        <v>34773</v>
      </c>
      <c r="B509" s="4">
        <v>15.2499</v>
      </c>
      <c r="C509" s="4">
        <v>63.4998</v>
      </c>
      <c r="D509" s="4">
        <v>52</v>
      </c>
      <c r="H509" s="12" t="str">
        <f>IFERROR(LOG10(J509/I509),"")</f>
        <v/>
      </c>
      <c r="I509" t="str">
        <f>IF(L509="","",L509/1000/1.022)</f>
        <v/>
      </c>
      <c r="J509">
        <f>IF(M509="","",M509/1000/1.022)</f>
        <v>4.8923679060665363E-7</v>
      </c>
      <c r="K509">
        <f>IF(N509="","",N509/1000/1.022)</f>
        <v>2.1526418786692759E-6</v>
      </c>
      <c r="L509" s="6"/>
      <c r="M509" s="7">
        <v>5.0000000000000001E-4</v>
      </c>
      <c r="N509">
        <v>2.2000000000000001E-3</v>
      </c>
      <c r="P509" s="5" t="s">
        <v>47</v>
      </c>
      <c r="Q509" s="5" t="s">
        <v>48</v>
      </c>
    </row>
    <row r="510" spans="1:17" s="4" customFormat="1">
      <c r="A510" s="3">
        <v>34773</v>
      </c>
      <c r="B510" s="4">
        <v>15.2499</v>
      </c>
      <c r="C510" s="4">
        <v>63.4998</v>
      </c>
      <c r="D510" s="4">
        <v>62</v>
      </c>
      <c r="H510" s="12" t="str">
        <f>IFERROR(LOG10(J510/I510),"")</f>
        <v/>
      </c>
      <c r="I510" t="str">
        <f>IF(L510="","",L510/1000/1.022)</f>
        <v/>
      </c>
      <c r="J510">
        <f>IF(M510="","",M510/1000/1.022)</f>
        <v>9.7847358121330727E-7</v>
      </c>
      <c r="K510">
        <f>IF(N510="","",N510/1000/1.022)</f>
        <v>3.1311154598825832E-6</v>
      </c>
      <c r="L510" s="6"/>
      <c r="M510" s="7">
        <v>1E-3</v>
      </c>
      <c r="N510">
        <v>3.2000000000000002E-3</v>
      </c>
      <c r="P510" s="5" t="s">
        <v>47</v>
      </c>
      <c r="Q510" s="5" t="s">
        <v>48</v>
      </c>
    </row>
    <row r="511" spans="1:17" s="4" customFormat="1">
      <c r="A511" s="3">
        <v>34773</v>
      </c>
      <c r="B511" s="4">
        <v>15.2499</v>
      </c>
      <c r="C511" s="4">
        <v>63.4998</v>
      </c>
      <c r="D511" s="4">
        <v>90</v>
      </c>
      <c r="H511" s="12" t="str">
        <f>IFERROR(LOG10(J511/I511),"")</f>
        <v/>
      </c>
      <c r="I511" t="str">
        <f>IF(L511="","",L511/1000/1.022)</f>
        <v/>
      </c>
      <c r="J511">
        <f>IF(M511="","",M511/1000/1.022)</f>
        <v>5.8708414872798432E-7</v>
      </c>
      <c r="K511">
        <f>IF(N511="","",N511/1000/1.022)</f>
        <v>9.7847358121330727E-7</v>
      </c>
      <c r="L511" s="6"/>
      <c r="M511" s="7">
        <v>5.9999999999999995E-4</v>
      </c>
      <c r="N511">
        <v>1E-3</v>
      </c>
      <c r="P511" s="5" t="s">
        <v>47</v>
      </c>
      <c r="Q511" s="5" t="s">
        <v>48</v>
      </c>
    </row>
    <row r="512" spans="1:17" s="4" customFormat="1">
      <c r="A512" s="3">
        <v>34773</v>
      </c>
      <c r="B512" s="4">
        <v>16.000299999999999</v>
      </c>
      <c r="C512" s="4">
        <v>61.993400000000001</v>
      </c>
      <c r="D512" s="4">
        <v>1</v>
      </c>
      <c r="H512" s="12" t="str">
        <f>IFERROR(LOG10(J512/I512),"")</f>
        <v/>
      </c>
      <c r="I512" t="str">
        <f>IF(L512="","",L512/1000/1.022)</f>
        <v/>
      </c>
      <c r="J512" t="str">
        <f>IF(M512="","",M512/1000/1.022)</f>
        <v/>
      </c>
      <c r="K512" t="str">
        <f>IF(N512="","",N512/1000/1.022)</f>
        <v/>
      </c>
      <c r="L512" s="6"/>
      <c r="M512" s="7"/>
      <c r="N512"/>
      <c r="P512" s="5" t="s">
        <v>47</v>
      </c>
      <c r="Q512" s="5" t="s">
        <v>48</v>
      </c>
    </row>
    <row r="513" spans="1:17" s="4" customFormat="1">
      <c r="A513" s="3">
        <v>34773</v>
      </c>
      <c r="B513" s="4">
        <v>16.000299999999999</v>
      </c>
      <c r="C513" s="4">
        <v>61.993400000000001</v>
      </c>
      <c r="D513" s="4">
        <v>6</v>
      </c>
      <c r="H513" s="12" t="str">
        <f>IFERROR(LOG10(J513/I513),"")</f>
        <v/>
      </c>
      <c r="I513" t="str">
        <f>IF(L513="","",L513/1000/1.022)</f>
        <v/>
      </c>
      <c r="J513">
        <f>IF(M513="","",M513/1000/1.022)</f>
        <v>2.73972602739726E-6</v>
      </c>
      <c r="K513">
        <f>IF(N513="","",N513/1000/1.022)</f>
        <v>1.086105675146771E-5</v>
      </c>
      <c r="L513" s="6"/>
      <c r="M513" s="7">
        <v>2.8E-3</v>
      </c>
      <c r="N513">
        <v>1.11E-2</v>
      </c>
      <c r="P513" s="5" t="s">
        <v>47</v>
      </c>
      <c r="Q513" s="5" t="s">
        <v>48</v>
      </c>
    </row>
    <row r="514" spans="1:17" s="13" customFormat="1">
      <c r="A514" s="17">
        <v>34773</v>
      </c>
      <c r="B514" s="13">
        <v>16.000299999999999</v>
      </c>
      <c r="C514" s="13">
        <v>61.993400000000001</v>
      </c>
      <c r="D514" s="13">
        <v>15</v>
      </c>
      <c r="H514" s="12">
        <f>IFERROR(LOG10(J514/I514),"")</f>
        <v>-2.012837224705172</v>
      </c>
      <c r="I514">
        <f>IF(L514="","",L514/1000/1.022)</f>
        <v>1.0078277886497065E-5</v>
      </c>
      <c r="J514">
        <f>IF(M514="","",M514/1000/1.022)</f>
        <v>9.7847358121330724E-8</v>
      </c>
      <c r="K514">
        <f>IF(N514="","",N514/1000/1.022)</f>
        <v>9.4911937377690808E-6</v>
      </c>
      <c r="L514" s="14">
        <v>1.03E-2</v>
      </c>
      <c r="M514" s="15">
        <v>1E-4</v>
      </c>
      <c r="N514">
        <v>9.7000000000000003E-3</v>
      </c>
      <c r="P514" s="16" t="s">
        <v>47</v>
      </c>
      <c r="Q514" s="16" t="s">
        <v>48</v>
      </c>
    </row>
    <row r="515" spans="1:17" s="4" customFormat="1">
      <c r="A515" s="3">
        <v>34773</v>
      </c>
      <c r="B515" s="4">
        <v>16.000299999999999</v>
      </c>
      <c r="C515" s="4">
        <v>61.993400000000001</v>
      </c>
      <c r="D515" s="4">
        <v>24</v>
      </c>
      <c r="H515" s="12" t="str">
        <f>IFERROR(LOG10(J515/I515),"")</f>
        <v/>
      </c>
      <c r="I515" t="str">
        <f>IF(L515="","",L515/1000/1.022)</f>
        <v/>
      </c>
      <c r="J515">
        <f>IF(M515="","",M515/1000/1.022)</f>
        <v>9.7847358121330724E-8</v>
      </c>
      <c r="K515" t="str">
        <f>IF(N515="","",N515/1000/1.022)</f>
        <v/>
      </c>
      <c r="L515" s="6"/>
      <c r="M515" s="7">
        <v>1E-4</v>
      </c>
      <c r="N515"/>
      <c r="P515" s="5" t="s">
        <v>47</v>
      </c>
      <c r="Q515" s="5" t="s">
        <v>48</v>
      </c>
    </row>
    <row r="516" spans="1:17" s="4" customFormat="1">
      <c r="A516" s="3">
        <v>34773</v>
      </c>
      <c r="B516" s="4">
        <v>16.000299999999999</v>
      </c>
      <c r="C516" s="4">
        <v>61.993400000000001</v>
      </c>
      <c r="D516" s="4">
        <v>37</v>
      </c>
      <c r="H516" s="12" t="str">
        <f>IFERROR(LOG10(J516/I516),"")</f>
        <v/>
      </c>
      <c r="I516" t="str">
        <f>IF(L516="","",L516/1000/1.022)</f>
        <v/>
      </c>
      <c r="J516">
        <f>IF(M516="","",M516/1000/1.022)</f>
        <v>1.6634050880626221E-6</v>
      </c>
      <c r="K516">
        <f>IF(N516="","",N516/1000/1.022)</f>
        <v>7.0450097847358118E-6</v>
      </c>
      <c r="L516" s="6"/>
      <c r="M516" s="7">
        <v>1.6999999999999999E-3</v>
      </c>
      <c r="N516">
        <v>7.1999999999999998E-3</v>
      </c>
      <c r="P516" s="5" t="s">
        <v>47</v>
      </c>
      <c r="Q516" s="5" t="s">
        <v>48</v>
      </c>
    </row>
    <row r="517" spans="1:17" s="13" customFormat="1">
      <c r="A517" s="17">
        <v>34773</v>
      </c>
      <c r="B517" s="13">
        <v>16.000299999999999</v>
      </c>
      <c r="C517" s="13">
        <v>61.993400000000001</v>
      </c>
      <c r="D517" s="13">
        <v>52</v>
      </c>
      <c r="H517" s="12">
        <f>IFERROR(LOG10(J517/I517),"")</f>
        <v>0.77815125038364363</v>
      </c>
      <c r="I517">
        <f>IF(L517="","",L517/1000/1.022)</f>
        <v>9.7847358121330724E-8</v>
      </c>
      <c r="J517">
        <f>IF(M517="","",M517/1000/1.022)</f>
        <v>5.8708414872798432E-7</v>
      </c>
      <c r="K517">
        <f>IF(N517="","",N517/1000/1.022)</f>
        <v>2.054794520547945E-6</v>
      </c>
      <c r="L517" s="14">
        <v>1E-4</v>
      </c>
      <c r="M517" s="15">
        <v>5.9999999999999995E-4</v>
      </c>
      <c r="N517">
        <v>2.0999999999999999E-3</v>
      </c>
      <c r="P517" s="16" t="s">
        <v>47</v>
      </c>
      <c r="Q517" s="16" t="s">
        <v>48</v>
      </c>
    </row>
    <row r="518" spans="1:17" s="4" customFormat="1">
      <c r="A518" s="3">
        <v>34773</v>
      </c>
      <c r="B518" s="4">
        <v>16.000299999999999</v>
      </c>
      <c r="C518" s="4">
        <v>61.993400000000001</v>
      </c>
      <c r="D518" s="4">
        <v>62</v>
      </c>
      <c r="H518" s="12" t="str">
        <f>IFERROR(LOG10(J518/I518),"")</f>
        <v/>
      </c>
      <c r="I518" t="str">
        <f>IF(L518="","",L518/1000/1.022)</f>
        <v/>
      </c>
      <c r="J518">
        <f>IF(M518="","",M518/1000/1.022)</f>
        <v>5.8708414872798432E-7</v>
      </c>
      <c r="K518" t="str">
        <f>IF(N518="","",N518/1000/1.022)</f>
        <v/>
      </c>
      <c r="L518" s="6"/>
      <c r="M518" s="7">
        <v>5.9999999999999995E-4</v>
      </c>
      <c r="N518"/>
      <c r="P518" s="5" t="s">
        <v>47</v>
      </c>
      <c r="Q518" s="5" t="s">
        <v>48</v>
      </c>
    </row>
    <row r="519" spans="1:17" s="4" customFormat="1">
      <c r="A519" s="3">
        <v>34773</v>
      </c>
      <c r="B519" s="4">
        <v>16.000299999999999</v>
      </c>
      <c r="C519" s="4">
        <v>61.993400000000001</v>
      </c>
      <c r="D519" s="4">
        <v>90</v>
      </c>
      <c r="H519" s="12" t="str">
        <f>IFERROR(LOG10(J519/I519),"")</f>
        <v/>
      </c>
      <c r="I519" t="str">
        <f>IF(L519="","",L519/1000/1.022)</f>
        <v/>
      </c>
      <c r="J519">
        <f>IF(M519="","",M519/1000/1.022)</f>
        <v>2.9354207436399216E-7</v>
      </c>
      <c r="K519" t="str">
        <f>IF(N519="","",N519/1000/1.022)</f>
        <v/>
      </c>
      <c r="L519" s="6"/>
      <c r="M519" s="7">
        <v>2.9999999999999997E-4</v>
      </c>
      <c r="N519"/>
      <c r="P519" s="5" t="s">
        <v>47</v>
      </c>
      <c r="Q519" s="5" t="s">
        <v>48</v>
      </c>
    </row>
    <row r="520" spans="1:17" s="4" customFormat="1">
      <c r="A520" s="3">
        <v>34773</v>
      </c>
      <c r="B520" s="4">
        <v>15.9961</v>
      </c>
      <c r="C520" s="4">
        <v>61.999099999999999</v>
      </c>
      <c r="D520" s="4">
        <v>3</v>
      </c>
      <c r="H520" s="12" t="str">
        <f>IFERROR(LOG10(J520/I520),"")</f>
        <v/>
      </c>
      <c r="I520" t="str">
        <f>IF(L520="","",L520/1000/1.022)</f>
        <v/>
      </c>
      <c r="J520" t="str">
        <f>IF(M520="","",M520/1000/1.022)</f>
        <v/>
      </c>
      <c r="K520">
        <f>IF(N520="","",N520/1000/1.022)</f>
        <v>1.2720156555772993E-6</v>
      </c>
      <c r="L520" s="6"/>
      <c r="M520" s="7"/>
      <c r="N520">
        <v>1.2999999999999999E-3</v>
      </c>
      <c r="P520" s="5" t="s">
        <v>47</v>
      </c>
      <c r="Q520" s="5" t="s">
        <v>48</v>
      </c>
    </row>
    <row r="521" spans="1:17" s="4" customFormat="1">
      <c r="A521" s="3">
        <v>34773</v>
      </c>
      <c r="B521" s="4">
        <v>16.136299999999999</v>
      </c>
      <c r="C521" s="4">
        <v>61.978299999999997</v>
      </c>
      <c r="D521" s="4">
        <v>10</v>
      </c>
      <c r="H521" s="12" t="str">
        <f>IFERROR(LOG10(J521/I521),"")</f>
        <v/>
      </c>
      <c r="I521">
        <f>IF(L521="","",L521/1000/1.022)</f>
        <v>8.21917808219178E-6</v>
      </c>
      <c r="J521" t="str">
        <f>IF(M521="","",M521/1000/1.022)</f>
        <v/>
      </c>
      <c r="K521" t="str">
        <f>IF(N521="","",N521/1000/1.022)</f>
        <v/>
      </c>
      <c r="L521" s="6">
        <v>8.3999999999999995E-3</v>
      </c>
      <c r="M521" s="7"/>
      <c r="N521"/>
      <c r="P521" s="5" t="s">
        <v>47</v>
      </c>
      <c r="Q521" s="5" t="s">
        <v>48</v>
      </c>
    </row>
    <row r="522" spans="1:17" s="4" customFormat="1">
      <c r="A522" s="3">
        <v>34773</v>
      </c>
      <c r="B522" s="4">
        <v>16.136299999999999</v>
      </c>
      <c r="C522" s="4">
        <v>61.978299999999997</v>
      </c>
      <c r="D522" s="4">
        <v>40</v>
      </c>
      <c r="H522" s="12" t="str">
        <f>IFERROR(LOG10(J522/I522),"")</f>
        <v/>
      </c>
      <c r="I522" t="str">
        <f>IF(L522="","",L522/1000/1.022)</f>
        <v/>
      </c>
      <c r="J522" t="str">
        <f>IF(M522="","",M522/1000/1.022)</f>
        <v/>
      </c>
      <c r="K522">
        <f>IF(N522="","",N522/1000/1.022)</f>
        <v>5.8708414872798436E-6</v>
      </c>
      <c r="L522" s="6"/>
      <c r="M522" s="7"/>
      <c r="N522">
        <v>6.0000000000000001E-3</v>
      </c>
      <c r="P522" s="5" t="s">
        <v>47</v>
      </c>
      <c r="Q522" s="5" t="s">
        <v>48</v>
      </c>
    </row>
    <row r="523" spans="1:17" s="4" customFormat="1">
      <c r="A523" s="3">
        <v>34773</v>
      </c>
      <c r="B523" s="4">
        <v>16.816299999999998</v>
      </c>
      <c r="C523" s="4">
        <v>60.502800000000001</v>
      </c>
      <c r="D523" s="4">
        <v>4</v>
      </c>
      <c r="H523" s="12" t="str">
        <f>IFERROR(LOG10(J523/I523),"")</f>
        <v/>
      </c>
      <c r="I523" t="str">
        <f>IF(L523="","",L523/1000/1.022)</f>
        <v/>
      </c>
      <c r="J523">
        <f>IF(M523="","",M523/1000/1.022)</f>
        <v>1.8590998043052836E-6</v>
      </c>
      <c r="K523" t="str">
        <f>IF(N523="","",N523/1000/1.022)</f>
        <v/>
      </c>
      <c r="L523" s="6"/>
      <c r="M523" s="7">
        <v>1.9E-3</v>
      </c>
      <c r="N523"/>
      <c r="P523" s="5" t="s">
        <v>47</v>
      </c>
      <c r="Q523" s="5" t="s">
        <v>48</v>
      </c>
    </row>
    <row r="524" spans="1:17" s="13" customFormat="1">
      <c r="A524" s="17">
        <v>34773</v>
      </c>
      <c r="B524" s="13">
        <v>16.816299999999998</v>
      </c>
      <c r="C524" s="13">
        <v>60.502800000000001</v>
      </c>
      <c r="D524" s="13">
        <v>10</v>
      </c>
      <c r="H524" s="12">
        <f>IFERROR(LOG10(J524/I524),"")</f>
        <v>-0.8903780214758058</v>
      </c>
      <c r="I524">
        <f>IF(L524="","",L524/1000/1.022)</f>
        <v>9.8825831702544027E-6</v>
      </c>
      <c r="J524">
        <f>IF(M524="","",M524/1000/1.022)</f>
        <v>1.2720156555772993E-6</v>
      </c>
      <c r="K524">
        <f>IF(N524="","",N524/1000/1.022)</f>
        <v>2.3483365949119373E-6</v>
      </c>
      <c r="L524" s="14">
        <v>1.01E-2</v>
      </c>
      <c r="M524" s="15">
        <v>1.2999999999999999E-3</v>
      </c>
      <c r="N524">
        <v>2.3999999999999998E-3</v>
      </c>
      <c r="P524" s="16" t="s">
        <v>47</v>
      </c>
      <c r="Q524" s="16" t="s">
        <v>48</v>
      </c>
    </row>
    <row r="525" spans="1:17" s="4" customFormat="1">
      <c r="A525" s="3">
        <v>34773</v>
      </c>
      <c r="B525" s="4">
        <v>16.816299999999998</v>
      </c>
      <c r="C525" s="4">
        <v>60.502800000000001</v>
      </c>
      <c r="D525" s="4">
        <v>16</v>
      </c>
      <c r="H525" s="12" t="str">
        <f>IFERROR(LOG10(J525/I525),"")</f>
        <v/>
      </c>
      <c r="I525" t="str">
        <f>IF(L525="","",L525/1000/1.022)</f>
        <v/>
      </c>
      <c r="J525">
        <f>IF(M525="","",M525/1000/1.022)</f>
        <v>2.6418786692759295E-6</v>
      </c>
      <c r="K525">
        <f>IF(N525="","",N525/1000/1.022)</f>
        <v>2.3483365949119373E-6</v>
      </c>
      <c r="L525" s="6"/>
      <c r="M525" s="7">
        <v>2.7000000000000001E-3</v>
      </c>
      <c r="N525">
        <v>2.3999999999999998E-3</v>
      </c>
      <c r="P525" s="5" t="s">
        <v>47</v>
      </c>
      <c r="Q525" s="5" t="s">
        <v>48</v>
      </c>
    </row>
    <row r="526" spans="1:17" s="4" customFormat="1">
      <c r="A526" s="3">
        <v>34773</v>
      </c>
      <c r="B526" s="4">
        <v>16.816299999999998</v>
      </c>
      <c r="C526" s="4">
        <v>60.502800000000001</v>
      </c>
      <c r="D526" s="4">
        <v>24</v>
      </c>
      <c r="H526" s="12" t="str">
        <f>IFERROR(LOG10(J526/I526),"")</f>
        <v/>
      </c>
      <c r="I526" t="str">
        <f>IF(L526="","",L526/1000/1.022)</f>
        <v/>
      </c>
      <c r="J526">
        <f>IF(M526="","",M526/1000/1.022)</f>
        <v>3.7181996086105673E-6</v>
      </c>
      <c r="K526">
        <f>IF(N526="","",N526/1000/1.022)</f>
        <v>1.8590998043052836E-6</v>
      </c>
      <c r="L526" s="6"/>
      <c r="M526" s="7">
        <v>3.8E-3</v>
      </c>
      <c r="N526">
        <v>1.9E-3</v>
      </c>
      <c r="P526" s="5" t="s">
        <v>47</v>
      </c>
      <c r="Q526" s="5" t="s">
        <v>48</v>
      </c>
    </row>
    <row r="527" spans="1:17" s="13" customFormat="1">
      <c r="A527" s="17">
        <v>34773</v>
      </c>
      <c r="B527" s="13">
        <v>16.816299999999998</v>
      </c>
      <c r="C527" s="13">
        <v>60.502800000000001</v>
      </c>
      <c r="D527" s="13">
        <v>33</v>
      </c>
      <c r="H527" s="12">
        <f>IFERROR(LOG10(J527/I527),"")</f>
        <v>-0.29373075692248179</v>
      </c>
      <c r="I527">
        <f>IF(L527="","",L527/1000/1.022)</f>
        <v>1.1545988258317025E-5</v>
      </c>
      <c r="J527">
        <f>IF(M527="","",M527/1000/1.022)</f>
        <v>5.8708414872798436E-6</v>
      </c>
      <c r="K527">
        <f>IF(N527="","",N527/1000/1.022)</f>
        <v>5.9686888454011745E-6</v>
      </c>
      <c r="L527" s="14">
        <v>1.18E-2</v>
      </c>
      <c r="M527" s="15">
        <v>6.0000000000000001E-3</v>
      </c>
      <c r="N527">
        <v>6.1000000000000004E-3</v>
      </c>
      <c r="P527" s="16" t="s">
        <v>47</v>
      </c>
      <c r="Q527" s="16" t="s">
        <v>48</v>
      </c>
    </row>
    <row r="528" spans="1:17" s="4" customFormat="1">
      <c r="A528" s="3">
        <v>34773</v>
      </c>
      <c r="B528" s="4">
        <v>16.816299999999998</v>
      </c>
      <c r="C528" s="4">
        <v>60.502800000000001</v>
      </c>
      <c r="D528" s="4">
        <v>40</v>
      </c>
      <c r="H528" s="12" t="str">
        <f>IFERROR(LOG10(J528/I528),"")</f>
        <v/>
      </c>
      <c r="I528" t="str">
        <f>IF(L528="","",L528/1000/1.022)</f>
        <v/>
      </c>
      <c r="J528">
        <f>IF(M528="","",M528/1000/1.022)</f>
        <v>7.9256360078277882E-6</v>
      </c>
      <c r="K528">
        <f>IF(N528="","",N528/1000/1.022)</f>
        <v>7.9256360078277882E-6</v>
      </c>
      <c r="L528" s="6"/>
      <c r="M528" s="7">
        <v>8.0999999999999996E-3</v>
      </c>
      <c r="N528">
        <v>8.0999999999999996E-3</v>
      </c>
      <c r="P528" s="5" t="s">
        <v>47</v>
      </c>
      <c r="Q528" s="5" t="s">
        <v>48</v>
      </c>
    </row>
    <row r="529" spans="1:17" s="4" customFormat="1">
      <c r="A529" s="3">
        <v>34773</v>
      </c>
      <c r="B529" s="4">
        <v>16.816299999999998</v>
      </c>
      <c r="C529" s="4">
        <v>60.502800000000001</v>
      </c>
      <c r="D529" s="4">
        <v>58</v>
      </c>
      <c r="H529" s="12" t="str">
        <f>IFERROR(LOG10(J529/I529),"")</f>
        <v/>
      </c>
      <c r="I529" t="str">
        <f>IF(L529="","",L529/1000/1.022)</f>
        <v/>
      </c>
      <c r="J529">
        <f>IF(M529="","",M529/1000/1.022)</f>
        <v>8.8062622309197648E-7</v>
      </c>
      <c r="K529" t="str">
        <f>IF(N529="","",N529/1000/1.022)</f>
        <v/>
      </c>
      <c r="L529" s="6"/>
      <c r="M529" s="7">
        <v>8.9999999999999998E-4</v>
      </c>
      <c r="N529"/>
      <c r="P529" s="5" t="s">
        <v>47</v>
      </c>
      <c r="Q529" s="5" t="s">
        <v>48</v>
      </c>
    </row>
    <row r="530" spans="1:17" s="4" customFormat="1">
      <c r="A530" s="3">
        <v>34773</v>
      </c>
      <c r="B530" s="4">
        <v>16.816299999999998</v>
      </c>
      <c r="C530" s="4">
        <v>60.502800000000001</v>
      </c>
      <c r="D530" s="4">
        <v>86</v>
      </c>
      <c r="H530" s="12" t="str">
        <f>IFERROR(LOG10(J530/I530),"")</f>
        <v/>
      </c>
      <c r="I530" t="str">
        <f>IF(L530="","",L530/1000/1.022)</f>
        <v/>
      </c>
      <c r="J530" t="str">
        <f>IF(M530="","",M530/1000/1.022)</f>
        <v/>
      </c>
      <c r="K530">
        <f>IF(N530="","",N530/1000/1.022)</f>
        <v>1.076320939334638E-6</v>
      </c>
      <c r="L530" s="6"/>
      <c r="M530" s="7"/>
      <c r="N530">
        <v>1.1000000000000001E-3</v>
      </c>
      <c r="P530" s="5" t="s">
        <v>47</v>
      </c>
      <c r="Q530" s="5" t="s">
        <v>48</v>
      </c>
    </row>
    <row r="531" spans="1:17" s="4" customFormat="1">
      <c r="A531" s="3">
        <v>34773</v>
      </c>
      <c r="B531" s="4">
        <v>17.258099999999999</v>
      </c>
      <c r="C531" s="4">
        <v>59.754899999999999</v>
      </c>
      <c r="D531" s="4">
        <v>2</v>
      </c>
      <c r="H531" s="12" t="str">
        <f>IFERROR(LOG10(J531/I531),"")</f>
        <v/>
      </c>
      <c r="I531" t="str">
        <f>IF(L531="","",L531/1000/1.022)</f>
        <v/>
      </c>
      <c r="J531">
        <f>IF(M531="","",M531/1000/1.022)</f>
        <v>1.908023483365949E-5</v>
      </c>
      <c r="K531" t="str">
        <f>IF(N531="","",N531/1000/1.022)</f>
        <v/>
      </c>
      <c r="L531" s="6"/>
      <c r="M531" s="7">
        <v>1.95E-2</v>
      </c>
      <c r="N531"/>
      <c r="P531" s="5" t="s">
        <v>47</v>
      </c>
      <c r="Q531" s="5" t="s">
        <v>48</v>
      </c>
    </row>
    <row r="532" spans="1:17" s="13" customFormat="1">
      <c r="A532" s="17">
        <v>34773</v>
      </c>
      <c r="B532" s="13">
        <v>17.258099999999999</v>
      </c>
      <c r="C532" s="13">
        <v>59.754899999999999</v>
      </c>
      <c r="D532" s="13">
        <v>10</v>
      </c>
      <c r="H532" s="12">
        <f>IFERROR(LOG10(J532/I532),"")</f>
        <v>0.80660388273584838</v>
      </c>
      <c r="I532">
        <f>IF(L532="","",L532/1000/1.022)</f>
        <v>3.1311154598825832E-6</v>
      </c>
      <c r="J532">
        <f>IF(M532="","",M532/1000/1.022)</f>
        <v>2.0058708414872797E-5</v>
      </c>
      <c r="K532">
        <f>IF(N532="","",N532/1000/1.022)</f>
        <v>7.5342465753424663E-6</v>
      </c>
      <c r="L532" s="14">
        <v>3.2000000000000002E-3</v>
      </c>
      <c r="M532" s="15">
        <v>2.0500000000000001E-2</v>
      </c>
      <c r="N532">
        <v>7.7000000000000002E-3</v>
      </c>
      <c r="P532" s="16" t="s">
        <v>47</v>
      </c>
      <c r="Q532" s="16" t="s">
        <v>48</v>
      </c>
    </row>
    <row r="533" spans="1:17" s="4" customFormat="1">
      <c r="A533" s="3">
        <v>34773</v>
      </c>
      <c r="B533" s="4">
        <v>17.258099999999999</v>
      </c>
      <c r="C533" s="4">
        <v>59.754899999999999</v>
      </c>
      <c r="D533" s="4">
        <v>19</v>
      </c>
      <c r="H533" s="12" t="str">
        <f>IFERROR(LOG10(J533/I533),"")</f>
        <v/>
      </c>
      <c r="I533" t="str">
        <f>IF(L533="","",L533/1000/1.022)</f>
        <v/>
      </c>
      <c r="J533">
        <f>IF(M533="","",M533/1000/1.022)</f>
        <v>4.7945205479452054E-6</v>
      </c>
      <c r="K533" t="str">
        <f>IF(N533="","",N533/1000/1.022)</f>
        <v/>
      </c>
      <c r="L533" s="6"/>
      <c r="M533" s="7">
        <v>4.8999999999999998E-3</v>
      </c>
      <c r="N533"/>
      <c r="P533" s="5" t="s">
        <v>47</v>
      </c>
      <c r="Q533" s="5" t="s">
        <v>48</v>
      </c>
    </row>
    <row r="534" spans="1:17" s="4" customFormat="1">
      <c r="A534" s="3">
        <v>34773</v>
      </c>
      <c r="B534" s="4">
        <v>17.258099999999999</v>
      </c>
      <c r="C534" s="4">
        <v>59.754899999999999</v>
      </c>
      <c r="D534" s="4">
        <v>25</v>
      </c>
      <c r="H534" s="12" t="str">
        <f>IFERROR(LOG10(J534/I534),"")</f>
        <v/>
      </c>
      <c r="I534" t="str">
        <f>IF(L534="","",L534/1000/1.022)</f>
        <v/>
      </c>
      <c r="J534" t="str">
        <f>IF(M534="","",M534/1000/1.022)</f>
        <v/>
      </c>
      <c r="K534">
        <f>IF(N534="","",N534/1000/1.022)</f>
        <v>8.4148727984344435E-6</v>
      </c>
      <c r="L534" s="6"/>
      <c r="M534" s="7"/>
      <c r="N534">
        <v>8.6E-3</v>
      </c>
      <c r="P534" s="5" t="s">
        <v>47</v>
      </c>
      <c r="Q534" s="5" t="s">
        <v>48</v>
      </c>
    </row>
    <row r="535" spans="1:17" s="13" customFormat="1">
      <c r="A535" s="17">
        <v>34773</v>
      </c>
      <c r="B535" s="13">
        <v>17.258099999999999</v>
      </c>
      <c r="C535" s="13">
        <v>59.754899999999999</v>
      </c>
      <c r="D535" s="13">
        <v>31</v>
      </c>
      <c r="H535" s="12">
        <f>IFERROR(LOG10(J535/I535),"")</f>
        <v>-0.41373427585526956</v>
      </c>
      <c r="I535">
        <f>IF(L535="","",L535/1000/1.022)</f>
        <v>6.8493150684931509E-6</v>
      </c>
      <c r="J535">
        <f>IF(M535="","",M535/1000/1.022)</f>
        <v>2.6418786692759295E-6</v>
      </c>
      <c r="K535">
        <f>IF(N535="","",N535/1000/1.022)</f>
        <v>3.9138943248532291E-6</v>
      </c>
      <c r="L535" s="14">
        <v>7.0000000000000001E-3</v>
      </c>
      <c r="M535" s="15">
        <v>2.7000000000000001E-3</v>
      </c>
      <c r="N535">
        <v>4.0000000000000001E-3</v>
      </c>
      <c r="P535" s="16" t="s">
        <v>47</v>
      </c>
      <c r="Q535" s="16" t="s">
        <v>48</v>
      </c>
    </row>
    <row r="536" spans="1:17" s="4" customFormat="1">
      <c r="A536" s="3">
        <v>34773</v>
      </c>
      <c r="B536" s="4">
        <v>17.258099999999999</v>
      </c>
      <c r="C536" s="4">
        <v>59.754899999999999</v>
      </c>
      <c r="D536" s="4">
        <v>38</v>
      </c>
      <c r="H536" s="12" t="str">
        <f>IFERROR(LOG10(J536/I536),"")</f>
        <v/>
      </c>
      <c r="I536" t="str">
        <f>IF(L536="","",L536/1000/1.022)</f>
        <v/>
      </c>
      <c r="J536">
        <f>IF(M536="","",M536/1000/1.022)</f>
        <v>2.1526418786692759E-6</v>
      </c>
      <c r="K536">
        <f>IF(N536="","",N536/1000/1.022)</f>
        <v>5.0880626223091973E-6</v>
      </c>
      <c r="L536" s="6"/>
      <c r="M536" s="7">
        <v>2.2000000000000001E-3</v>
      </c>
      <c r="N536">
        <v>5.1999999999999998E-3</v>
      </c>
      <c r="P536" s="5" t="s">
        <v>47</v>
      </c>
      <c r="Q536" s="5" t="s">
        <v>48</v>
      </c>
    </row>
    <row r="537" spans="1:17" s="4" customFormat="1">
      <c r="A537" s="3">
        <v>34773</v>
      </c>
      <c r="B537" s="4">
        <v>17.258099999999999</v>
      </c>
      <c r="C537" s="4">
        <v>59.754899999999999</v>
      </c>
      <c r="D537" s="4">
        <v>50</v>
      </c>
      <c r="H537" s="12" t="str">
        <f>IFERROR(LOG10(J537/I537),"")</f>
        <v/>
      </c>
      <c r="I537" t="str">
        <f>IF(L537="","",L537/1000/1.022)</f>
        <v/>
      </c>
      <c r="J537">
        <f>IF(M537="","",M537/1000/1.022)</f>
        <v>9.7847358121330727E-7</v>
      </c>
      <c r="K537">
        <f>IF(N537="","",N537/1000/1.022)</f>
        <v>1.6634050880626221E-6</v>
      </c>
      <c r="L537" s="6"/>
      <c r="M537" s="7">
        <v>1E-3</v>
      </c>
      <c r="N537">
        <v>1.6999999999999999E-3</v>
      </c>
      <c r="P537" s="5" t="s">
        <v>47</v>
      </c>
      <c r="Q537" s="5" t="s">
        <v>48</v>
      </c>
    </row>
    <row r="538" spans="1:17" s="4" customFormat="1">
      <c r="A538" s="3">
        <v>34773</v>
      </c>
      <c r="B538" s="4">
        <v>17.258099999999999</v>
      </c>
      <c r="C538" s="4">
        <v>59.754899999999999</v>
      </c>
      <c r="D538" s="4">
        <v>84</v>
      </c>
      <c r="H538" s="12" t="str">
        <f>IFERROR(LOG10(J538/I538),"")</f>
        <v/>
      </c>
      <c r="I538" t="str">
        <f>IF(L538="","",L538/1000/1.022)</f>
        <v/>
      </c>
      <c r="J538">
        <f>IF(M538="","",M538/1000/1.022)</f>
        <v>1.9569471624266145E-7</v>
      </c>
      <c r="K538">
        <f>IF(N538="","",N538/1000/1.022)</f>
        <v>7.8277886497064579E-7</v>
      </c>
      <c r="L538" s="6"/>
      <c r="M538" s="7">
        <v>2.0000000000000001E-4</v>
      </c>
      <c r="N538">
        <v>8.0000000000000004E-4</v>
      </c>
      <c r="P538" s="5" t="s">
        <v>47</v>
      </c>
      <c r="Q538" s="5" t="s">
        <v>48</v>
      </c>
    </row>
    <row r="539" spans="1:17" s="4" customFormat="1">
      <c r="A539" s="3">
        <v>34773</v>
      </c>
      <c r="B539" s="4">
        <v>17.198899999999998</v>
      </c>
      <c r="C539" s="4">
        <v>59.7637</v>
      </c>
      <c r="D539" s="4">
        <v>2</v>
      </c>
      <c r="H539" s="12" t="str">
        <f>IFERROR(LOG10(J539/I539),"")</f>
        <v/>
      </c>
      <c r="I539" t="str">
        <f>IF(L539="","",L539/1000/1.022)</f>
        <v/>
      </c>
      <c r="J539" t="str">
        <f>IF(M539="","",M539/1000/1.022)</f>
        <v/>
      </c>
      <c r="K539" t="str">
        <f>IF(N539="","",N539/1000/1.022)</f>
        <v/>
      </c>
      <c r="L539" s="6"/>
      <c r="M539" s="7"/>
      <c r="N539"/>
      <c r="P539" s="5" t="s">
        <v>47</v>
      </c>
      <c r="Q539" s="5" t="s">
        <v>48</v>
      </c>
    </row>
    <row r="540" spans="1:17" s="4" customFormat="1">
      <c r="A540" s="3">
        <v>34773</v>
      </c>
      <c r="B540" s="4">
        <v>17.198899999999998</v>
      </c>
      <c r="C540" s="4">
        <v>59.7637</v>
      </c>
      <c r="D540" s="4">
        <v>13</v>
      </c>
      <c r="H540" s="12" t="str">
        <f>IFERROR(LOG10(J540/I540),"")</f>
        <v/>
      </c>
      <c r="I540" t="str">
        <f>IF(L540="","",L540/1000/1.022)</f>
        <v/>
      </c>
      <c r="J540" t="str">
        <f>IF(M540="","",M540/1000/1.022)</f>
        <v/>
      </c>
      <c r="K540" t="str">
        <f>IF(N540="","",N540/1000/1.022)</f>
        <v/>
      </c>
      <c r="L540" s="6"/>
      <c r="M540" s="7"/>
      <c r="N540"/>
      <c r="P540" s="5" t="s">
        <v>47</v>
      </c>
      <c r="Q540" s="5" t="s">
        <v>48</v>
      </c>
    </row>
    <row r="541" spans="1:17" s="4" customFormat="1">
      <c r="A541" s="3">
        <v>34773</v>
      </c>
      <c r="B541" s="4">
        <v>17.198899999999998</v>
      </c>
      <c r="C541" s="4">
        <v>59.7637</v>
      </c>
      <c r="D541" s="4">
        <v>19</v>
      </c>
      <c r="H541" s="12" t="str">
        <f>IFERROR(LOG10(J541/I541),"")</f>
        <v/>
      </c>
      <c r="I541" t="str">
        <f>IF(L541="","",L541/1000/1.022)</f>
        <v/>
      </c>
      <c r="J541" t="str">
        <f>IF(M541="","",M541/1000/1.022)</f>
        <v/>
      </c>
      <c r="K541" t="str">
        <f>IF(N541="","",N541/1000/1.022)</f>
        <v/>
      </c>
      <c r="L541" s="6"/>
      <c r="M541" s="7"/>
      <c r="N541"/>
      <c r="P541" s="5" t="s">
        <v>47</v>
      </c>
      <c r="Q541" s="5" t="s">
        <v>48</v>
      </c>
    </row>
    <row r="542" spans="1:17" s="4" customFormat="1">
      <c r="A542" s="3">
        <v>34773</v>
      </c>
      <c r="B542" s="4">
        <v>17.198899999999998</v>
      </c>
      <c r="C542" s="4">
        <v>59.7637</v>
      </c>
      <c r="D542" s="4">
        <v>28</v>
      </c>
      <c r="H542" s="12" t="str">
        <f>IFERROR(LOG10(J542/I542),"")</f>
        <v/>
      </c>
      <c r="I542" t="str">
        <f>IF(L542="","",L542/1000/1.022)</f>
        <v/>
      </c>
      <c r="J542" t="str">
        <f>IF(M542="","",M542/1000/1.022)</f>
        <v/>
      </c>
      <c r="K542" t="str">
        <f>IF(N542="","",N542/1000/1.022)</f>
        <v/>
      </c>
      <c r="L542" s="6"/>
      <c r="M542" s="7"/>
      <c r="N542"/>
      <c r="P542" s="5" t="s">
        <v>47</v>
      </c>
      <c r="Q542" s="5" t="s">
        <v>48</v>
      </c>
    </row>
    <row r="543" spans="1:17" s="4" customFormat="1">
      <c r="A543" s="3">
        <v>34773</v>
      </c>
      <c r="B543" s="4">
        <v>17.197900000000001</v>
      </c>
      <c r="C543" s="4">
        <v>59.766399999999997</v>
      </c>
      <c r="D543" s="4">
        <v>11</v>
      </c>
      <c r="H543" s="12" t="str">
        <f>IFERROR(LOG10(J543/I543),"")</f>
        <v/>
      </c>
      <c r="I543" t="str">
        <f>IF(L543="","",L543/1000/1.022)</f>
        <v/>
      </c>
      <c r="J543" t="str">
        <f>IF(M543="","",M543/1000/1.022)</f>
        <v/>
      </c>
      <c r="K543">
        <f>IF(N543="","",N543/1000/1.022)</f>
        <v>3.6203522504892368E-6</v>
      </c>
      <c r="L543" s="6"/>
      <c r="M543" s="7"/>
      <c r="N543">
        <v>3.7000000000000002E-3</v>
      </c>
      <c r="P543" s="5" t="s">
        <v>47</v>
      </c>
      <c r="Q543" s="5" t="s">
        <v>48</v>
      </c>
    </row>
    <row r="544" spans="1:17" s="4" customFormat="1">
      <c r="A544" s="3">
        <v>34773</v>
      </c>
      <c r="B544" s="4">
        <v>17.197900000000001</v>
      </c>
      <c r="C544" s="4">
        <v>59.766399999999997</v>
      </c>
      <c r="D544" s="4">
        <v>29</v>
      </c>
      <c r="H544" s="12" t="str">
        <f>IFERROR(LOG10(J544/I544),"")</f>
        <v/>
      </c>
      <c r="I544">
        <f>IF(L544="","",L544/1000/1.022)</f>
        <v>1.5753424657534245E-5</v>
      </c>
      <c r="J544" t="str">
        <f>IF(M544="","",M544/1000/1.022)</f>
        <v/>
      </c>
      <c r="K544" t="str">
        <f>IF(N544="","",N544/1000/1.022)</f>
        <v/>
      </c>
      <c r="L544" s="6">
        <v>1.61E-2</v>
      </c>
      <c r="M544" s="7"/>
      <c r="N544"/>
      <c r="P544" s="5" t="s">
        <v>47</v>
      </c>
      <c r="Q544" s="5" t="s">
        <v>48</v>
      </c>
    </row>
    <row r="545" spans="1:17" s="4" customFormat="1">
      <c r="A545" s="3">
        <v>34773</v>
      </c>
      <c r="B545" s="4">
        <v>17.683900000000001</v>
      </c>
      <c r="C545" s="4">
        <v>58.974600000000002</v>
      </c>
      <c r="D545" s="4">
        <v>1</v>
      </c>
      <c r="H545" s="12" t="str">
        <f>IFERROR(LOG10(J545/I545),"")</f>
        <v/>
      </c>
      <c r="I545" t="str">
        <f>IF(L545="","",L545/1000/1.022)</f>
        <v/>
      </c>
      <c r="J545">
        <f>IF(M545="","",M545/1000/1.022)</f>
        <v>5.8708414872798432E-7</v>
      </c>
      <c r="K545">
        <f>IF(N545="","",N545/1000/1.022)</f>
        <v>6.3600782778864964E-6</v>
      </c>
      <c r="L545" s="6"/>
      <c r="M545" s="7">
        <v>5.9999999999999995E-4</v>
      </c>
      <c r="N545">
        <v>6.4999999999999997E-3</v>
      </c>
      <c r="P545" s="5" t="s">
        <v>47</v>
      </c>
      <c r="Q545" s="5" t="s">
        <v>48</v>
      </c>
    </row>
    <row r="546" spans="1:17" s="13" customFormat="1">
      <c r="A546" s="17">
        <v>34773</v>
      </c>
      <c r="B546" s="13">
        <v>17.683900000000001</v>
      </c>
      <c r="C546" s="13">
        <v>58.974600000000002</v>
      </c>
      <c r="D546" s="13">
        <v>6</v>
      </c>
      <c r="H546" s="12">
        <f>IFERROR(LOG10(J546/I546),"")</f>
        <v>-0.86033800657099369</v>
      </c>
      <c r="I546">
        <f>IF(L546="","",L546/1000/1.022)</f>
        <v>2.8375733855185909E-6</v>
      </c>
      <c r="J546">
        <f>IF(M546="","",M546/1000/1.022)</f>
        <v>3.913894324853229E-7</v>
      </c>
      <c r="K546">
        <f>IF(N546="","",N546/1000/1.022)</f>
        <v>3.0332681017612523E-6</v>
      </c>
      <c r="L546" s="14">
        <v>2.8999999999999998E-3</v>
      </c>
      <c r="M546" s="15">
        <v>4.0000000000000002E-4</v>
      </c>
      <c r="N546">
        <v>3.0999999999999999E-3</v>
      </c>
      <c r="P546" s="16" t="s">
        <v>47</v>
      </c>
      <c r="Q546" s="16" t="s">
        <v>48</v>
      </c>
    </row>
    <row r="547" spans="1:17" s="4" customFormat="1">
      <c r="A547" s="3">
        <v>34773</v>
      </c>
      <c r="B547" s="4">
        <v>17.683900000000001</v>
      </c>
      <c r="C547" s="4">
        <v>58.974600000000002</v>
      </c>
      <c r="D547" s="4">
        <v>14</v>
      </c>
      <c r="H547" s="12" t="str">
        <f>IFERROR(LOG10(J547/I547),"")</f>
        <v/>
      </c>
      <c r="I547" t="str">
        <f>IF(L547="","",L547/1000/1.022)</f>
        <v/>
      </c>
      <c r="J547">
        <f>IF(M547="","",M547/1000/1.022)</f>
        <v>1.9569471624266145E-7</v>
      </c>
      <c r="K547" t="str">
        <f>IF(N547="","",N547/1000/1.022)</f>
        <v/>
      </c>
      <c r="L547" s="6"/>
      <c r="M547" s="7">
        <v>2.0000000000000001E-4</v>
      </c>
      <c r="N547"/>
      <c r="P547" s="5" t="s">
        <v>47</v>
      </c>
      <c r="Q547" s="5" t="s">
        <v>48</v>
      </c>
    </row>
    <row r="548" spans="1:17" s="4" customFormat="1">
      <c r="A548" s="3">
        <v>34773</v>
      </c>
      <c r="B548" s="4">
        <v>17.683900000000001</v>
      </c>
      <c r="C548" s="4">
        <v>58.974600000000002</v>
      </c>
      <c r="D548" s="4">
        <v>22</v>
      </c>
      <c r="H548" s="12" t="str">
        <f>IFERROR(LOG10(J548/I548),"")</f>
        <v/>
      </c>
      <c r="I548" t="str">
        <f>IF(L548="","",L548/1000/1.022)</f>
        <v/>
      </c>
      <c r="J548">
        <f>IF(M548="","",M548/1000/1.022)</f>
        <v>2.9354207436399216E-7</v>
      </c>
      <c r="K548">
        <f>IF(N548="","",N548/1000/1.022)</f>
        <v>3.1311154598825832E-6</v>
      </c>
      <c r="L548" s="6"/>
      <c r="M548" s="7">
        <v>2.9999999999999997E-4</v>
      </c>
      <c r="N548">
        <v>3.2000000000000002E-3</v>
      </c>
      <c r="P548" s="5" t="s">
        <v>47</v>
      </c>
      <c r="Q548" s="5" t="s">
        <v>48</v>
      </c>
    </row>
    <row r="549" spans="1:17" s="4" customFormat="1">
      <c r="A549" s="3">
        <v>34773</v>
      </c>
      <c r="B549" s="4">
        <v>17.683900000000001</v>
      </c>
      <c r="C549" s="4">
        <v>58.974600000000002</v>
      </c>
      <c r="D549" s="4">
        <v>30</v>
      </c>
      <c r="H549" s="12" t="str">
        <f>IFERROR(LOG10(J549/I549),"")</f>
        <v/>
      </c>
      <c r="I549" t="str">
        <f>IF(L549="","",L549/1000/1.022)</f>
        <v/>
      </c>
      <c r="J549">
        <f>IF(M549="","",M549/1000/1.022)</f>
        <v>3.913894324853229E-7</v>
      </c>
      <c r="K549">
        <f>IF(N549="","",N549/1000/1.022)</f>
        <v>6.8493150684931509E-6</v>
      </c>
      <c r="L549" s="6"/>
      <c r="M549" s="7">
        <v>4.0000000000000002E-4</v>
      </c>
      <c r="N549">
        <v>7.0000000000000001E-3</v>
      </c>
      <c r="P549" s="5" t="s">
        <v>47</v>
      </c>
      <c r="Q549" s="5" t="s">
        <v>48</v>
      </c>
    </row>
    <row r="550" spans="1:17" s="4" customFormat="1">
      <c r="A550" s="3">
        <v>34773</v>
      </c>
      <c r="B550" s="4">
        <v>17.683900000000001</v>
      </c>
      <c r="C550" s="4">
        <v>58.974600000000002</v>
      </c>
      <c r="D550" s="4">
        <v>36</v>
      </c>
      <c r="H550" s="12" t="str">
        <f>IFERROR(LOG10(J550/I550),"")</f>
        <v/>
      </c>
      <c r="I550" t="str">
        <f>IF(L550="","",L550/1000/1.022)</f>
        <v/>
      </c>
      <c r="J550">
        <f>IF(M550="","",M550/1000/1.022)</f>
        <v>9.7847358121330724E-8</v>
      </c>
      <c r="K550">
        <f>IF(N550="","",N550/1000/1.022)</f>
        <v>3.913894324853229E-7</v>
      </c>
      <c r="L550" s="6"/>
      <c r="M550" s="7">
        <v>1E-4</v>
      </c>
      <c r="N550">
        <v>4.0000000000000002E-4</v>
      </c>
      <c r="P550" s="5" t="s">
        <v>47</v>
      </c>
      <c r="Q550" s="5" t="s">
        <v>48</v>
      </c>
    </row>
    <row r="551" spans="1:17" s="4" customFormat="1">
      <c r="A551" s="3">
        <v>34773</v>
      </c>
      <c r="B551" s="4">
        <v>17.683900000000001</v>
      </c>
      <c r="C551" s="4">
        <v>58.974600000000002</v>
      </c>
      <c r="D551" s="4">
        <v>48</v>
      </c>
      <c r="H551" s="12" t="str">
        <f>IFERROR(LOG10(J551/I551),"")</f>
        <v/>
      </c>
      <c r="I551" t="str">
        <f>IF(L551="","",L551/1000/1.022)</f>
        <v/>
      </c>
      <c r="J551">
        <f>IF(M551="","",M551/1000/1.022)</f>
        <v>3.913894324853229E-7</v>
      </c>
      <c r="K551" t="str">
        <f>IF(N551="","",N551/1000/1.022)</f>
        <v/>
      </c>
      <c r="L551" s="6"/>
      <c r="M551" s="7">
        <v>4.0000000000000002E-4</v>
      </c>
      <c r="N551"/>
      <c r="P551" s="5" t="s">
        <v>47</v>
      </c>
      <c r="Q551" s="5" t="s">
        <v>48</v>
      </c>
    </row>
    <row r="552" spans="1:17" s="4" customFormat="1">
      <c r="A552" s="3">
        <v>34773</v>
      </c>
      <c r="B552" s="4">
        <v>17.683900000000001</v>
      </c>
      <c r="C552" s="4">
        <v>58.974600000000002</v>
      </c>
      <c r="D552" s="4">
        <v>73</v>
      </c>
      <c r="H552" s="12" t="str">
        <f>IFERROR(LOG10(J552/I552),"")</f>
        <v/>
      </c>
      <c r="I552" t="str">
        <f>IF(L552="","",L552/1000/1.022)</f>
        <v/>
      </c>
      <c r="J552">
        <f>IF(M552="","",M552/1000/1.022)</f>
        <v>9.7847358121330724E-8</v>
      </c>
      <c r="K552" t="str">
        <f>IF(N552="","",N552/1000/1.022)</f>
        <v/>
      </c>
      <c r="L552" s="6"/>
      <c r="M552" s="7">
        <v>1E-4</v>
      </c>
      <c r="N552"/>
      <c r="P552" s="5" t="s">
        <v>47</v>
      </c>
      <c r="Q552" s="5" t="s">
        <v>48</v>
      </c>
    </row>
    <row r="553" spans="1:17" s="4" customFormat="1">
      <c r="A553" s="3">
        <v>34773</v>
      </c>
      <c r="B553" s="4">
        <v>18.083500000000001</v>
      </c>
      <c r="C553" s="4">
        <v>58.033299999999997</v>
      </c>
      <c r="D553" s="4">
        <v>1</v>
      </c>
      <c r="H553" s="12" t="str">
        <f>IFERROR(LOG10(J553/I553),"")</f>
        <v/>
      </c>
      <c r="I553" t="str">
        <f>IF(L553="","",L553/1000/1.022)</f>
        <v/>
      </c>
      <c r="J553">
        <f>IF(M553="","",M553/1000/1.022)</f>
        <v>2.9354207436399216E-7</v>
      </c>
      <c r="K553">
        <f>IF(N553="","",N553/1000/1.022)</f>
        <v>1.8590998043052836E-6</v>
      </c>
      <c r="L553" s="6"/>
      <c r="M553" s="7">
        <v>2.9999999999999997E-4</v>
      </c>
      <c r="N553">
        <v>1.9E-3</v>
      </c>
      <c r="P553" s="5" t="s">
        <v>47</v>
      </c>
      <c r="Q553" s="5" t="s">
        <v>48</v>
      </c>
    </row>
    <row r="554" spans="1:17" s="4" customFormat="1">
      <c r="A554" s="3">
        <v>34773</v>
      </c>
      <c r="B554" s="4">
        <v>18.083500000000001</v>
      </c>
      <c r="C554" s="4">
        <v>58.033299999999997</v>
      </c>
      <c r="D554" s="4">
        <v>6</v>
      </c>
      <c r="H554" s="12" t="str">
        <f>IFERROR(LOG10(J554/I554),"")</f>
        <v/>
      </c>
      <c r="I554" t="str">
        <f>IF(L554="","",L554/1000/1.022)</f>
        <v/>
      </c>
      <c r="J554" t="str">
        <f>IF(M554="","",M554/1000/1.022)</f>
        <v/>
      </c>
      <c r="K554">
        <f>IF(N554="","",N554/1000/1.022)</f>
        <v>6.4579256360078281E-6</v>
      </c>
      <c r="L554" s="6"/>
      <c r="M554" s="7"/>
      <c r="N554">
        <v>6.6E-3</v>
      </c>
      <c r="P554" s="5" t="s">
        <v>47</v>
      </c>
      <c r="Q554" s="5" t="s">
        <v>48</v>
      </c>
    </row>
    <row r="555" spans="1:17" s="4" customFormat="1">
      <c r="A555" s="3">
        <v>34773</v>
      </c>
      <c r="B555" s="4">
        <v>18.083500000000001</v>
      </c>
      <c r="C555" s="4">
        <v>58.033299999999997</v>
      </c>
      <c r="D555" s="4">
        <v>11</v>
      </c>
      <c r="H555" s="12" t="str">
        <f>IFERROR(LOG10(J555/I555),"")</f>
        <v/>
      </c>
      <c r="I555" t="str">
        <f>IF(L555="","",L555/1000/1.022)</f>
        <v/>
      </c>
      <c r="J555" t="str">
        <f>IF(M555="","",M555/1000/1.022)</f>
        <v/>
      </c>
      <c r="K555">
        <f>IF(N555="","",N555/1000/1.022)</f>
        <v>7.9256360078277882E-6</v>
      </c>
      <c r="L555" s="6"/>
      <c r="M555" s="7"/>
      <c r="N555">
        <v>8.0999999999999996E-3</v>
      </c>
      <c r="P555" s="5" t="s">
        <v>47</v>
      </c>
      <c r="Q555" s="5" t="s">
        <v>48</v>
      </c>
    </row>
    <row r="556" spans="1:17" s="4" customFormat="1">
      <c r="A556" s="3">
        <v>34773</v>
      </c>
      <c r="B556" s="4">
        <v>18.083500000000001</v>
      </c>
      <c r="C556" s="4">
        <v>58.033299999999997</v>
      </c>
      <c r="D556" s="4">
        <v>24</v>
      </c>
      <c r="H556" s="12" t="str">
        <f>IFERROR(LOG10(J556/I556),"")</f>
        <v/>
      </c>
      <c r="I556" t="str">
        <f>IF(L556="","",L556/1000/1.022)</f>
        <v/>
      </c>
      <c r="J556" t="str">
        <f>IF(M556="","",M556/1000/1.022)</f>
        <v/>
      </c>
      <c r="K556">
        <f>IF(N556="","",N556/1000/1.022)</f>
        <v>5.38160469667319E-6</v>
      </c>
      <c r="L556" s="6"/>
      <c r="M556" s="7"/>
      <c r="N556">
        <v>5.4999999999999997E-3</v>
      </c>
      <c r="P556" s="5" t="s">
        <v>47</v>
      </c>
      <c r="Q556" s="5" t="s">
        <v>48</v>
      </c>
    </row>
    <row r="557" spans="1:17" s="13" customFormat="1">
      <c r="A557" s="17">
        <v>34773</v>
      </c>
      <c r="B557" s="13">
        <v>18.083500000000001</v>
      </c>
      <c r="C557" s="13">
        <v>58.033299999999997</v>
      </c>
      <c r="D557" s="13">
        <v>32</v>
      </c>
      <c r="H557" s="12">
        <f>IFERROR(LOG10(J557/I557),"")</f>
        <v>-0.86297276378396115</v>
      </c>
      <c r="I557">
        <f>IF(L557="","",L557/1000/1.022)</f>
        <v>1.2133072407045009E-5</v>
      </c>
      <c r="J557">
        <f>IF(M557="","",M557/1000/1.022)</f>
        <v>1.6634050880626221E-6</v>
      </c>
      <c r="K557">
        <f>IF(N557="","",N557/1000/1.022)</f>
        <v>3.6203522504892368E-6</v>
      </c>
      <c r="L557" s="14">
        <v>1.24E-2</v>
      </c>
      <c r="M557" s="15">
        <v>1.6999999999999999E-3</v>
      </c>
      <c r="N557">
        <v>3.7000000000000002E-3</v>
      </c>
      <c r="P557" s="16" t="s">
        <v>47</v>
      </c>
      <c r="Q557" s="16" t="s">
        <v>48</v>
      </c>
    </row>
    <row r="558" spans="1:17" s="4" customFormat="1">
      <c r="A558" s="3">
        <v>34773</v>
      </c>
      <c r="B558" s="4">
        <v>18.083500000000001</v>
      </c>
      <c r="C558" s="4">
        <v>58.033299999999997</v>
      </c>
      <c r="D558" s="4">
        <v>37</v>
      </c>
      <c r="H558" s="12" t="str">
        <f>IFERROR(LOG10(J558/I558),"")</f>
        <v/>
      </c>
      <c r="I558" t="str">
        <f>IF(L558="","",L558/1000/1.022)</f>
        <v/>
      </c>
      <c r="J558">
        <f>IF(M558="","",M558/1000/1.022)</f>
        <v>8.0234833659491199E-6</v>
      </c>
      <c r="K558">
        <f>IF(N558="","",N558/1000/1.022)</f>
        <v>2.1526418786692759E-6</v>
      </c>
      <c r="L558" s="6"/>
      <c r="M558" s="7">
        <v>8.2000000000000007E-3</v>
      </c>
      <c r="N558">
        <v>2.2000000000000001E-3</v>
      </c>
      <c r="P558" s="5" t="s">
        <v>47</v>
      </c>
      <c r="Q558" s="5" t="s">
        <v>48</v>
      </c>
    </row>
    <row r="559" spans="1:17" s="4" customFormat="1">
      <c r="A559" s="3">
        <v>34773</v>
      </c>
      <c r="B559" s="4">
        <v>18.083500000000001</v>
      </c>
      <c r="C559" s="4">
        <v>58.033299999999997</v>
      </c>
      <c r="D559" s="4">
        <v>52</v>
      </c>
      <c r="H559" s="12" t="str">
        <f>IFERROR(LOG10(J559/I559),"")</f>
        <v/>
      </c>
      <c r="I559" t="str">
        <f>IF(L559="","",L559/1000/1.022)</f>
        <v/>
      </c>
      <c r="J559" t="str">
        <f>IF(M559="","",M559/1000/1.022)</f>
        <v/>
      </c>
      <c r="K559">
        <f>IF(N559="","",N559/1000/1.022)</f>
        <v>8.8062622309197648E-7</v>
      </c>
      <c r="L559" s="6"/>
      <c r="M559" s="7"/>
      <c r="N559">
        <v>8.9999999999999998E-4</v>
      </c>
      <c r="P559" s="5" t="s">
        <v>47</v>
      </c>
      <c r="Q559" s="5" t="s">
        <v>48</v>
      </c>
    </row>
    <row r="560" spans="1:17" s="4" customFormat="1">
      <c r="A560" s="3">
        <v>34773</v>
      </c>
      <c r="B560" s="4">
        <v>18.083500000000001</v>
      </c>
      <c r="C560" s="4">
        <v>58.033299999999997</v>
      </c>
      <c r="D560" s="4">
        <v>84</v>
      </c>
      <c r="H560" s="12" t="str">
        <f>IFERROR(LOG10(J560/I560),"")</f>
        <v/>
      </c>
      <c r="I560" t="str">
        <f>IF(L560="","",L560/1000/1.022)</f>
        <v/>
      </c>
      <c r="J560" t="str">
        <f>IF(M560="","",M560/1000/1.022)</f>
        <v/>
      </c>
      <c r="K560" t="str">
        <f>IF(N560="","",N560/1000/1.022)</f>
        <v/>
      </c>
      <c r="L560" s="6"/>
      <c r="M560" s="7"/>
      <c r="N560"/>
      <c r="P560" s="5" t="s">
        <v>47</v>
      </c>
      <c r="Q560" s="5" t="s">
        <v>48</v>
      </c>
    </row>
    <row r="561" spans="1:17" s="4" customFormat="1">
      <c r="A561" s="3">
        <v>34773</v>
      </c>
      <c r="B561" s="4">
        <v>18.4495</v>
      </c>
      <c r="C561" s="4">
        <v>57.303199999999997</v>
      </c>
      <c r="D561" s="4">
        <v>2</v>
      </c>
      <c r="H561" s="12" t="str">
        <f>IFERROR(LOG10(J561/I561),"")</f>
        <v/>
      </c>
      <c r="I561" t="str">
        <f>IF(L561="","",L561/1000/1.022)</f>
        <v/>
      </c>
      <c r="J561" t="str">
        <f>IF(M561="","",M561/1000/1.022)</f>
        <v/>
      </c>
      <c r="K561">
        <f>IF(N561="","",N561/1000/1.022)</f>
        <v>4.5009784735812136E-6</v>
      </c>
      <c r="L561" s="6"/>
      <c r="M561" s="7"/>
      <c r="N561">
        <v>4.5999999999999999E-3</v>
      </c>
      <c r="P561" s="5" t="s">
        <v>47</v>
      </c>
      <c r="Q561" s="5" t="s">
        <v>48</v>
      </c>
    </row>
    <row r="562" spans="1:17" s="13" customFormat="1">
      <c r="A562" s="17">
        <v>34773</v>
      </c>
      <c r="B562" s="13">
        <v>18.4495</v>
      </c>
      <c r="C562" s="13">
        <v>57.303199999999997</v>
      </c>
      <c r="D562" s="13">
        <v>8</v>
      </c>
      <c r="H562" s="12">
        <f>IFERROR(LOG10(J562/I562),"")</f>
        <v>-1.8779469516291882</v>
      </c>
      <c r="I562">
        <f>IF(L562="","",L562/1000/1.022)</f>
        <v>2.9549902152641882E-5</v>
      </c>
      <c r="J562">
        <f>IF(M562="","",M562/1000/1.022)</f>
        <v>3.913894324853229E-7</v>
      </c>
      <c r="K562">
        <f>IF(N562="","",N562/1000/1.022)</f>
        <v>3.7181996086105673E-6</v>
      </c>
      <c r="L562" s="14">
        <v>3.0200000000000001E-2</v>
      </c>
      <c r="M562" s="15">
        <v>4.0000000000000002E-4</v>
      </c>
      <c r="N562">
        <v>3.8E-3</v>
      </c>
      <c r="P562" s="16" t="s">
        <v>47</v>
      </c>
      <c r="Q562" s="16" t="s">
        <v>48</v>
      </c>
    </row>
    <row r="563" spans="1:17" s="4" customFormat="1">
      <c r="A563" s="3">
        <v>34773</v>
      </c>
      <c r="B563" s="4">
        <v>18.4495</v>
      </c>
      <c r="C563" s="4">
        <v>57.303199999999997</v>
      </c>
      <c r="D563" s="4">
        <v>12</v>
      </c>
      <c r="H563" s="12" t="str">
        <f>IFERROR(LOG10(J563/I563),"")</f>
        <v/>
      </c>
      <c r="I563" t="str">
        <f>IF(L563="","",L563/1000/1.022)</f>
        <v/>
      </c>
      <c r="J563">
        <f>IF(M563="","",M563/1000/1.022)</f>
        <v>3.913894324853229E-7</v>
      </c>
      <c r="K563">
        <f>IF(N563="","",N563/1000/1.022)</f>
        <v>3.8160469667318982E-6</v>
      </c>
      <c r="L563" s="6"/>
      <c r="M563" s="7">
        <v>4.0000000000000002E-4</v>
      </c>
      <c r="N563">
        <v>3.8999999999999998E-3</v>
      </c>
      <c r="P563" s="5" t="s">
        <v>47</v>
      </c>
      <c r="Q563" s="5" t="s">
        <v>48</v>
      </c>
    </row>
    <row r="564" spans="1:17" s="4" customFormat="1">
      <c r="A564" s="3">
        <v>34773</v>
      </c>
      <c r="B564" s="4">
        <v>18.4495</v>
      </c>
      <c r="C564" s="4">
        <v>57.303199999999997</v>
      </c>
      <c r="D564" s="4">
        <v>19</v>
      </c>
      <c r="H564" s="12" t="str">
        <f>IFERROR(LOG10(J564/I564),"")</f>
        <v/>
      </c>
      <c r="I564" t="str">
        <f>IF(L564="","",L564/1000/1.022)</f>
        <v/>
      </c>
      <c r="J564">
        <f>IF(M564="","",M564/1000/1.022)</f>
        <v>1.9569471624266145E-7</v>
      </c>
      <c r="K564">
        <f>IF(N564="","",N564/1000/1.022)</f>
        <v>1.2328767123287671E-5</v>
      </c>
      <c r="L564" s="6"/>
      <c r="M564" s="7">
        <v>2.0000000000000001E-4</v>
      </c>
      <c r="N564">
        <v>1.26E-2</v>
      </c>
      <c r="P564" s="5" t="s">
        <v>47</v>
      </c>
      <c r="Q564" s="5" t="s">
        <v>48</v>
      </c>
    </row>
    <row r="565" spans="1:17" s="4" customFormat="1">
      <c r="A565" s="3">
        <v>34773</v>
      </c>
      <c r="B565" s="4">
        <v>18.4495</v>
      </c>
      <c r="C565" s="4">
        <v>57.303199999999997</v>
      </c>
      <c r="D565" s="4">
        <v>28</v>
      </c>
      <c r="H565" s="12" t="str">
        <f>IFERROR(LOG10(J565/I565),"")</f>
        <v/>
      </c>
      <c r="I565" t="str">
        <f>IF(L565="","",L565/1000/1.022)</f>
        <v/>
      </c>
      <c r="J565">
        <f>IF(M565="","",M565/1000/1.022)</f>
        <v>3.8160469667318982E-6</v>
      </c>
      <c r="K565">
        <f>IF(N565="","",N565/1000/1.022)</f>
        <v>2.73972602739726E-6</v>
      </c>
      <c r="L565" s="6"/>
      <c r="M565" s="7">
        <v>3.8999999999999998E-3</v>
      </c>
      <c r="N565">
        <v>2.8E-3</v>
      </c>
      <c r="P565" s="5" t="s">
        <v>47</v>
      </c>
      <c r="Q565" s="5" t="s">
        <v>48</v>
      </c>
    </row>
    <row r="566" spans="1:17" s="4" customFormat="1">
      <c r="A566" s="3">
        <v>34773</v>
      </c>
      <c r="B566" s="4">
        <v>18.4495</v>
      </c>
      <c r="C566" s="4">
        <v>57.303199999999997</v>
      </c>
      <c r="D566" s="4">
        <v>32</v>
      </c>
      <c r="H566" s="12" t="str">
        <f>IFERROR(LOG10(J566/I566),"")</f>
        <v/>
      </c>
      <c r="I566" t="str">
        <f>IF(L566="","",L566/1000/1.022)</f>
        <v/>
      </c>
      <c r="J566">
        <f>IF(M566="","",M566/1000/1.022)</f>
        <v>5.8708414872798432E-7</v>
      </c>
      <c r="K566">
        <f>IF(N566="","",N566/1000/1.022)</f>
        <v>3.5225048923679059E-6</v>
      </c>
      <c r="L566" s="6"/>
      <c r="M566" s="7">
        <v>5.9999999999999995E-4</v>
      </c>
      <c r="N566">
        <v>3.5999999999999999E-3</v>
      </c>
      <c r="P566" s="5" t="s">
        <v>47</v>
      </c>
      <c r="Q566" s="5" t="s">
        <v>48</v>
      </c>
    </row>
    <row r="567" spans="1:17" s="4" customFormat="1">
      <c r="A567" s="3">
        <v>34773</v>
      </c>
      <c r="B567" s="4">
        <v>18.4495</v>
      </c>
      <c r="C567" s="4">
        <v>57.303199999999997</v>
      </c>
      <c r="D567" s="4">
        <v>38</v>
      </c>
      <c r="H567" s="12" t="str">
        <f>IFERROR(LOG10(J567/I567),"")</f>
        <v/>
      </c>
      <c r="I567" t="str">
        <f>IF(L567="","",L567/1000/1.022)</f>
        <v/>
      </c>
      <c r="J567">
        <f>IF(M567="","",M567/1000/1.022)</f>
        <v>5.8708414872798432E-7</v>
      </c>
      <c r="K567">
        <f>IF(N567="","",N567/1000/1.022)</f>
        <v>1.076320939334638E-6</v>
      </c>
      <c r="L567" s="6"/>
      <c r="M567" s="7">
        <v>5.9999999999999995E-4</v>
      </c>
      <c r="N567">
        <v>1.1000000000000001E-3</v>
      </c>
      <c r="P567" s="5" t="s">
        <v>47</v>
      </c>
      <c r="Q567" s="5" t="s">
        <v>48</v>
      </c>
    </row>
    <row r="568" spans="1:17" s="4" customFormat="1">
      <c r="A568" s="3">
        <v>34773</v>
      </c>
      <c r="B568" s="4">
        <v>18.4495</v>
      </c>
      <c r="C568" s="4">
        <v>57.303199999999997</v>
      </c>
      <c r="D568" s="4">
        <v>49</v>
      </c>
      <c r="H568" s="12" t="str">
        <f>IFERROR(LOG10(J568/I568),"")</f>
        <v/>
      </c>
      <c r="I568" t="str">
        <f>IF(L568="","",L568/1000/1.022)</f>
        <v/>
      </c>
      <c r="J568" t="str">
        <f>IF(M568="","",M568/1000/1.022)</f>
        <v/>
      </c>
      <c r="K568">
        <f>IF(N568="","",N568/1000/1.022)</f>
        <v>5.8708414872798432E-7</v>
      </c>
      <c r="L568" s="6"/>
      <c r="M568" s="7"/>
      <c r="N568">
        <v>5.9999999999999995E-4</v>
      </c>
      <c r="P568" s="5" t="s">
        <v>47</v>
      </c>
      <c r="Q568" s="5" t="s">
        <v>48</v>
      </c>
    </row>
    <row r="569" spans="1:17">
      <c r="A569" s="1">
        <v>40401</v>
      </c>
      <c r="B569">
        <v>38.293577999999997</v>
      </c>
      <c r="C569">
        <v>-76.276655000000005</v>
      </c>
      <c r="D569">
        <v>1.6</v>
      </c>
      <c r="E569">
        <v>6.7999999999999996E-3</v>
      </c>
      <c r="G569" t="s">
        <v>7</v>
      </c>
      <c r="H569" s="12" t="str">
        <f>IFERROR(LOG10(J569/I569),"")</f>
        <v/>
      </c>
      <c r="I569" s="6">
        <v>0.1095</v>
      </c>
      <c r="J569" s="7"/>
      <c r="K569"/>
      <c r="L569" s="6">
        <v>0.1095</v>
      </c>
      <c r="N569"/>
      <c r="O569" s="2" t="s">
        <v>49</v>
      </c>
      <c r="P569" s="2" t="s">
        <v>45</v>
      </c>
    </row>
    <row r="570" spans="1:17">
      <c r="A570" s="1">
        <v>40401</v>
      </c>
      <c r="B570">
        <v>38.293577999999997</v>
      </c>
      <c r="C570">
        <v>-76.276655000000005</v>
      </c>
      <c r="D570">
        <v>1.6</v>
      </c>
      <c r="E570">
        <v>6.6E-3</v>
      </c>
      <c r="G570" t="s">
        <v>7</v>
      </c>
      <c r="H570" s="12" t="str">
        <f>IFERROR(LOG10(J570/I570),"")</f>
        <v/>
      </c>
      <c r="I570" s="6">
        <v>8.9700000000000002E-2</v>
      </c>
      <c r="J570" s="7"/>
      <c r="K570"/>
      <c r="L570" s="6">
        <v>8.9700000000000002E-2</v>
      </c>
      <c r="N570"/>
      <c r="O570" s="2" t="s">
        <v>49</v>
      </c>
      <c r="P570" s="2" t="s">
        <v>45</v>
      </c>
    </row>
    <row r="571" spans="1:17">
      <c r="A571" s="1">
        <v>40401</v>
      </c>
      <c r="B571">
        <v>38.293577999999997</v>
      </c>
      <c r="C571">
        <v>-76.276655000000005</v>
      </c>
      <c r="D571">
        <v>1.6</v>
      </c>
      <c r="G571" t="s">
        <v>7</v>
      </c>
      <c r="H571" s="12" t="str">
        <f>IFERROR(LOG10(J571/I571),"")</f>
        <v/>
      </c>
      <c r="I571" s="6">
        <v>0.1263</v>
      </c>
      <c r="J571" s="7"/>
      <c r="K571"/>
      <c r="L571" s="6">
        <v>0.1263</v>
      </c>
      <c r="N571"/>
      <c r="O571" s="2" t="s">
        <v>49</v>
      </c>
      <c r="P571" s="2" t="s">
        <v>45</v>
      </c>
    </row>
    <row r="572" spans="1:17">
      <c r="A572" s="1">
        <v>40401</v>
      </c>
      <c r="B572">
        <v>38.293577999999997</v>
      </c>
      <c r="C572">
        <v>-76.276655000000005</v>
      </c>
      <c r="D572">
        <v>1.6</v>
      </c>
      <c r="G572" t="s">
        <v>7</v>
      </c>
      <c r="H572" s="12" t="str">
        <f>IFERROR(LOG10(J572/I572),"")</f>
        <v/>
      </c>
      <c r="I572" s="6">
        <v>7.0300000000000001E-2</v>
      </c>
      <c r="J572" s="7"/>
      <c r="K572"/>
      <c r="L572" s="6">
        <v>7.0300000000000001E-2</v>
      </c>
      <c r="N572"/>
      <c r="O572" s="2" t="s">
        <v>49</v>
      </c>
      <c r="P572" s="2" t="s">
        <v>45</v>
      </c>
    </row>
    <row r="573" spans="1:17">
      <c r="A573" s="1">
        <v>40401</v>
      </c>
      <c r="B573">
        <v>38.293577999999997</v>
      </c>
      <c r="C573">
        <v>-76.276655000000005</v>
      </c>
      <c r="D573">
        <v>1.6</v>
      </c>
      <c r="E573">
        <v>6.4999999999999997E-3</v>
      </c>
      <c r="G573" t="s">
        <v>7</v>
      </c>
      <c r="H573" s="12" t="str">
        <f>IFERROR(LOG10(J573/I573),"")</f>
        <v/>
      </c>
      <c r="I573" s="6">
        <v>0.25369999999999998</v>
      </c>
      <c r="J573" s="7"/>
      <c r="K573"/>
      <c r="L573" s="6">
        <v>0.25369999999999998</v>
      </c>
      <c r="N573"/>
      <c r="O573" s="2" t="s">
        <v>49</v>
      </c>
      <c r="P573" s="2" t="s">
        <v>45</v>
      </c>
    </row>
    <row r="574" spans="1:17">
      <c r="A574" s="1">
        <v>40401</v>
      </c>
      <c r="B574">
        <v>38.293577999999997</v>
      </c>
      <c r="C574">
        <v>-76.276655000000005</v>
      </c>
      <c r="D574">
        <v>1.6</v>
      </c>
      <c r="E574">
        <v>2.8E-3</v>
      </c>
      <c r="G574" t="s">
        <v>7</v>
      </c>
      <c r="H574" s="12" t="str">
        <f>IFERROR(LOG10(J574/I574),"")</f>
        <v/>
      </c>
      <c r="I574" s="6">
        <v>0.17460000000000001</v>
      </c>
      <c r="J574" s="7"/>
      <c r="K574"/>
      <c r="L574" s="6">
        <v>0.17460000000000001</v>
      </c>
      <c r="N574"/>
      <c r="O574" s="2" t="s">
        <v>49</v>
      </c>
      <c r="P574" s="2" t="s">
        <v>45</v>
      </c>
    </row>
    <row r="575" spans="1:17">
      <c r="A575" s="1">
        <v>40401</v>
      </c>
      <c r="B575">
        <v>38.293577999999997</v>
      </c>
      <c r="C575">
        <v>-76.276655000000005</v>
      </c>
      <c r="D575">
        <v>1.6</v>
      </c>
      <c r="G575" t="s">
        <v>7</v>
      </c>
      <c r="H575" s="12" t="str">
        <f>IFERROR(LOG10(J575/I575),"")</f>
        <v/>
      </c>
      <c r="I575" s="6">
        <v>0.52180000000000004</v>
      </c>
      <c r="J575" s="7"/>
      <c r="K575"/>
      <c r="L575" s="6">
        <v>0.52180000000000004</v>
      </c>
      <c r="N575"/>
      <c r="O575" s="2" t="s">
        <v>49</v>
      </c>
      <c r="P575" s="2" t="s">
        <v>45</v>
      </c>
    </row>
    <row r="576" spans="1:17">
      <c r="A576" s="1">
        <v>40401</v>
      </c>
      <c r="B576">
        <v>38.293577999999997</v>
      </c>
      <c r="C576">
        <v>-76.276655000000005</v>
      </c>
      <c r="D576">
        <v>1.6</v>
      </c>
      <c r="G576" t="s">
        <v>7</v>
      </c>
      <c r="H576" s="12" t="str">
        <f>IFERROR(LOG10(J576/I576),"")</f>
        <v/>
      </c>
      <c r="I576" s="6">
        <v>0.17749999999999999</v>
      </c>
      <c r="J576" s="7"/>
      <c r="K576"/>
      <c r="L576" s="6">
        <v>0.17749999999999999</v>
      </c>
      <c r="N576"/>
      <c r="O576" s="2" t="s">
        <v>49</v>
      </c>
      <c r="P576" s="2" t="s">
        <v>45</v>
      </c>
    </row>
    <row r="577" spans="1:16">
      <c r="A577" s="1">
        <v>40401</v>
      </c>
      <c r="B577">
        <v>38.293577999999997</v>
      </c>
      <c r="C577">
        <v>-76.276655000000005</v>
      </c>
      <c r="D577">
        <v>1.6</v>
      </c>
      <c r="E577">
        <v>2.0000000000000001E-4</v>
      </c>
      <c r="G577" t="s">
        <v>7</v>
      </c>
      <c r="H577" s="12" t="str">
        <f>IFERROR(LOG10(J577/I577),"")</f>
        <v/>
      </c>
      <c r="I577" s="6">
        <v>0.26340000000000002</v>
      </c>
      <c r="J577" s="7"/>
      <c r="K577"/>
      <c r="L577" s="6">
        <v>0.26340000000000002</v>
      </c>
      <c r="N577"/>
      <c r="O577" s="2" t="s">
        <v>49</v>
      </c>
      <c r="P577" s="2" t="s">
        <v>45</v>
      </c>
    </row>
    <row r="578" spans="1:16">
      <c r="A578" s="1">
        <v>40401</v>
      </c>
      <c r="B578">
        <v>38.293577999999997</v>
      </c>
      <c r="C578">
        <v>-76.276655000000005</v>
      </c>
      <c r="D578">
        <v>1.6</v>
      </c>
      <c r="E578">
        <v>7.7999999999999996E-3</v>
      </c>
      <c r="G578" t="s">
        <v>7</v>
      </c>
      <c r="H578" s="12" t="str">
        <f>IFERROR(LOG10(J578/I578),"")</f>
        <v/>
      </c>
      <c r="I578" s="6">
        <v>0.26729999999999998</v>
      </c>
      <c r="J578" s="7"/>
      <c r="K578"/>
      <c r="L578" s="6">
        <v>0.26729999999999998</v>
      </c>
      <c r="N578"/>
      <c r="O578" s="2" t="s">
        <v>49</v>
      </c>
      <c r="P578" s="2" t="s">
        <v>45</v>
      </c>
    </row>
    <row r="579" spans="1:16">
      <c r="A579" s="1">
        <v>40401</v>
      </c>
      <c r="B579">
        <v>38.293577999999997</v>
      </c>
      <c r="C579">
        <v>-76.276655000000005</v>
      </c>
      <c r="D579">
        <v>1.6</v>
      </c>
      <c r="E579">
        <v>1.1900000000000001E-2</v>
      </c>
      <c r="G579" t="s">
        <v>7</v>
      </c>
      <c r="H579" s="12" t="str">
        <f>IFERROR(LOG10(J579/I579),"")</f>
        <v/>
      </c>
      <c r="I579" s="6">
        <v>0.36559999999999998</v>
      </c>
      <c r="J579" s="7"/>
      <c r="K579"/>
      <c r="L579" s="6">
        <v>0.36559999999999998</v>
      </c>
      <c r="N579"/>
      <c r="O579" s="2" t="s">
        <v>49</v>
      </c>
      <c r="P579" s="2" t="s">
        <v>45</v>
      </c>
    </row>
    <row r="580" spans="1:16">
      <c r="A580" s="1">
        <v>40401</v>
      </c>
      <c r="B580">
        <v>38.293577999999997</v>
      </c>
      <c r="C580">
        <v>-76.276655000000005</v>
      </c>
      <c r="D580">
        <v>1.6</v>
      </c>
      <c r="E580">
        <v>7.7999999999999996E-3</v>
      </c>
      <c r="G580" t="s">
        <v>7</v>
      </c>
      <c r="H580" s="12" t="str">
        <f>IFERROR(LOG10(J580/I580),"")</f>
        <v/>
      </c>
      <c r="I580" s="6">
        <v>8.4400000000000003E-2</v>
      </c>
      <c r="J580" s="7"/>
      <c r="K580"/>
      <c r="L580" s="6">
        <v>8.4400000000000003E-2</v>
      </c>
      <c r="N580"/>
      <c r="O580" s="2" t="s">
        <v>49</v>
      </c>
      <c r="P580" s="2" t="s">
        <v>45</v>
      </c>
    </row>
    <row r="581" spans="1:16">
      <c r="A581" s="1">
        <v>40401</v>
      </c>
      <c r="B581">
        <v>38.293577999999997</v>
      </c>
      <c r="C581">
        <v>-76.276655000000005</v>
      </c>
      <c r="D581">
        <v>1.6</v>
      </c>
      <c r="E581">
        <v>1.06E-2</v>
      </c>
      <c r="G581" t="s">
        <v>7</v>
      </c>
      <c r="H581" s="12" t="str">
        <f>IFERROR(LOG10(J581/I581),"")</f>
        <v/>
      </c>
      <c r="I581" s="6">
        <v>0.55189999999999995</v>
      </c>
      <c r="J581" s="7"/>
      <c r="K581"/>
      <c r="L581" s="6">
        <v>0.55189999999999995</v>
      </c>
      <c r="N581"/>
      <c r="O581" s="2" t="s">
        <v>49</v>
      </c>
      <c r="P581" s="2" t="s">
        <v>45</v>
      </c>
    </row>
    <row r="582" spans="1:16">
      <c r="A582" s="1">
        <v>40401</v>
      </c>
      <c r="B582">
        <v>38.293577999999997</v>
      </c>
      <c r="C582">
        <v>-76.276655000000005</v>
      </c>
      <c r="D582">
        <v>1.6</v>
      </c>
      <c r="E582">
        <v>3.5000000000000001E-3</v>
      </c>
      <c r="G582" t="s">
        <v>7</v>
      </c>
      <c r="H582" s="12" t="str">
        <f>IFERROR(LOG10(J582/I582),"")</f>
        <v/>
      </c>
      <c r="I582" s="6">
        <v>0.33129999999999998</v>
      </c>
      <c r="J582" s="7"/>
      <c r="K582"/>
      <c r="L582" s="6">
        <v>0.33129999999999998</v>
      </c>
      <c r="N582"/>
      <c r="O582" s="2" t="s">
        <v>49</v>
      </c>
      <c r="P582" s="2" t="s">
        <v>45</v>
      </c>
    </row>
    <row r="583" spans="1:16">
      <c r="A583" s="1">
        <v>40401</v>
      </c>
      <c r="B583">
        <v>38.293577999999997</v>
      </c>
      <c r="C583">
        <v>-76.276655000000005</v>
      </c>
      <c r="D583">
        <v>1.6</v>
      </c>
      <c r="E583">
        <v>8.5000000000000006E-3</v>
      </c>
      <c r="G583" t="s">
        <v>7</v>
      </c>
      <c r="H583" s="12" t="str">
        <f>IFERROR(LOG10(J583/I583),"")</f>
        <v/>
      </c>
      <c r="I583" s="6">
        <v>0.43509999999999999</v>
      </c>
      <c r="J583" s="7"/>
      <c r="K583"/>
      <c r="L583" s="6">
        <v>0.43509999999999999</v>
      </c>
      <c r="N583"/>
      <c r="O583" s="2" t="s">
        <v>49</v>
      </c>
      <c r="P583" s="2" t="s">
        <v>45</v>
      </c>
    </row>
    <row r="584" spans="1:16">
      <c r="A584" s="1">
        <v>40401</v>
      </c>
      <c r="B584">
        <v>38.293577999999997</v>
      </c>
      <c r="C584">
        <v>-76.276655000000005</v>
      </c>
      <c r="D584">
        <v>1.6</v>
      </c>
      <c r="E584">
        <v>1.2999999999999999E-3</v>
      </c>
      <c r="G584" t="s">
        <v>7</v>
      </c>
      <c r="H584" s="12" t="str">
        <f>IFERROR(LOG10(J584/I584),"")</f>
        <v/>
      </c>
      <c r="I584" s="6">
        <v>0.14280000000000001</v>
      </c>
      <c r="J584" s="7"/>
      <c r="K584"/>
      <c r="L584" s="6">
        <v>0.14280000000000001</v>
      </c>
      <c r="N584"/>
      <c r="O584" s="2" t="s">
        <v>49</v>
      </c>
      <c r="P584" s="2" t="s">
        <v>45</v>
      </c>
    </row>
    <row r="585" spans="1:16">
      <c r="A585" s="1">
        <v>40401</v>
      </c>
      <c r="B585">
        <v>38.293577999999997</v>
      </c>
      <c r="C585">
        <v>-76.276655000000005</v>
      </c>
      <c r="D585">
        <v>1.6</v>
      </c>
      <c r="E585">
        <v>2E-3</v>
      </c>
      <c r="G585" t="s">
        <v>7</v>
      </c>
      <c r="H585" s="12" t="str">
        <f>IFERROR(LOG10(J585/I585),"")</f>
        <v/>
      </c>
      <c r="I585" s="6">
        <v>0.41349999999999998</v>
      </c>
      <c r="J585" s="7"/>
      <c r="K585"/>
      <c r="L585" s="6">
        <v>0.41349999999999998</v>
      </c>
      <c r="N585"/>
      <c r="O585" s="2" t="s">
        <v>49</v>
      </c>
      <c r="P585" s="2" t="s">
        <v>45</v>
      </c>
    </row>
    <row r="586" spans="1:16">
      <c r="A586" s="1">
        <v>40401</v>
      </c>
      <c r="B586">
        <v>38.293577999999997</v>
      </c>
      <c r="C586">
        <v>-76.276655000000005</v>
      </c>
      <c r="D586">
        <v>1.6</v>
      </c>
      <c r="E586">
        <v>8.9999999999999998E-4</v>
      </c>
      <c r="G586" t="s">
        <v>7</v>
      </c>
      <c r="H586" s="12" t="str">
        <f>IFERROR(LOG10(J586/I586),"")</f>
        <v/>
      </c>
      <c r="I586" s="6">
        <v>0.32529999999999998</v>
      </c>
      <c r="J586" s="7"/>
      <c r="K586"/>
      <c r="L586" s="6">
        <v>0.32529999999999998</v>
      </c>
      <c r="N586"/>
      <c r="O586" s="2" t="s">
        <v>49</v>
      </c>
      <c r="P586" s="2" t="s">
        <v>45</v>
      </c>
    </row>
    <row r="587" spans="1:16">
      <c r="A587" s="1">
        <v>40401</v>
      </c>
      <c r="B587">
        <v>38.293577999999997</v>
      </c>
      <c r="C587">
        <v>-76.276655000000005</v>
      </c>
      <c r="D587">
        <v>1.6</v>
      </c>
      <c r="E587">
        <v>3.5999999999999999E-3</v>
      </c>
      <c r="G587" t="s">
        <v>7</v>
      </c>
      <c r="H587" s="12" t="str">
        <f>IFERROR(LOG10(J587/I587),"")</f>
        <v/>
      </c>
      <c r="I587" s="6">
        <v>0.30520000000000003</v>
      </c>
      <c r="J587" s="7"/>
      <c r="K587"/>
      <c r="L587" s="6">
        <v>0.30520000000000003</v>
      </c>
      <c r="N587"/>
      <c r="O587" s="2" t="s">
        <v>49</v>
      </c>
      <c r="P587" s="2" t="s">
        <v>45</v>
      </c>
    </row>
    <row r="588" spans="1:16">
      <c r="A588" s="1">
        <v>40401</v>
      </c>
      <c r="B588">
        <v>38.293577999999997</v>
      </c>
      <c r="C588">
        <v>-76.276655000000005</v>
      </c>
      <c r="D588">
        <v>1.6</v>
      </c>
      <c r="E588">
        <v>1.4E-3</v>
      </c>
      <c r="G588" t="s">
        <v>7</v>
      </c>
      <c r="H588" s="12" t="str">
        <f>IFERROR(LOG10(J588/I588),"")</f>
        <v/>
      </c>
      <c r="I588" s="6">
        <v>0.1696</v>
      </c>
      <c r="J588" s="7"/>
      <c r="K588"/>
      <c r="L588" s="6">
        <v>0.1696</v>
      </c>
      <c r="N588"/>
      <c r="O588" s="2" t="s">
        <v>49</v>
      </c>
      <c r="P588" s="2" t="s">
        <v>45</v>
      </c>
    </row>
    <row r="589" spans="1:16">
      <c r="A589" s="1">
        <v>40404</v>
      </c>
      <c r="B589">
        <v>38.293577999999997</v>
      </c>
      <c r="C589">
        <v>-76.276655000000005</v>
      </c>
      <c r="D589">
        <v>1</v>
      </c>
      <c r="E589">
        <v>7.4999999999999997E-3</v>
      </c>
      <c r="F589">
        <v>7.7999999999999996E-3</v>
      </c>
      <c r="G589">
        <v>6.6E-3</v>
      </c>
      <c r="H589" s="12">
        <f>IFERROR(LOG10(J589/I589),"")</f>
        <v>-0.38051023964555269</v>
      </c>
      <c r="I589" s="10">
        <v>0.58120000000000005</v>
      </c>
      <c r="J589" s="8">
        <v>0.24199999999999999</v>
      </c>
      <c r="K589">
        <v>0.2515</v>
      </c>
      <c r="L589" s="6">
        <v>0.58120000000000005</v>
      </c>
      <c r="M589" s="7">
        <v>0.24199999999999999</v>
      </c>
      <c r="N589">
        <v>0.2515</v>
      </c>
      <c r="O589" s="2" t="s">
        <v>49</v>
      </c>
      <c r="P589" s="2" t="s">
        <v>45</v>
      </c>
    </row>
    <row r="590" spans="1:16">
      <c r="A590" s="1">
        <v>40404</v>
      </c>
      <c r="B590">
        <v>38.293577999999997</v>
      </c>
      <c r="C590">
        <v>-76.276655000000005</v>
      </c>
      <c r="D590">
        <v>1</v>
      </c>
      <c r="E590">
        <v>7.4000000000000003E-3</v>
      </c>
      <c r="F590">
        <v>1.66E-2</v>
      </c>
      <c r="G590">
        <v>1.9300000000000001E-2</v>
      </c>
      <c r="H590" s="12">
        <f>IFERROR(LOG10(J590/I590),"")</f>
        <v>-0.36454921546220165</v>
      </c>
      <c r="I590" s="10">
        <v>0.122</v>
      </c>
      <c r="J590" s="8">
        <v>5.2699999999999997E-2</v>
      </c>
      <c r="K590">
        <v>6.1199999999999997E-2</v>
      </c>
      <c r="L590" s="6">
        <v>0.122</v>
      </c>
      <c r="M590" s="7">
        <v>5.2699999999999997E-2</v>
      </c>
      <c r="N590">
        <v>6.1199999999999997E-2</v>
      </c>
      <c r="O590" s="2" t="s">
        <v>49</v>
      </c>
      <c r="P590" s="2" t="s">
        <v>45</v>
      </c>
    </row>
    <row r="591" spans="1:16">
      <c r="A591" s="1">
        <v>40404</v>
      </c>
      <c r="B591">
        <v>38.293577999999997</v>
      </c>
      <c r="C591">
        <v>-76.276655000000005</v>
      </c>
      <c r="D591">
        <v>1</v>
      </c>
      <c r="E591">
        <v>6.4999999999999997E-3</v>
      </c>
      <c r="F591">
        <v>5.8999999999999999E-3</v>
      </c>
      <c r="G591">
        <v>4.7000000000000002E-3</v>
      </c>
      <c r="H591" s="12">
        <f>IFERROR(LOG10(J591/I591),"")</f>
        <v>-0.30340103603139712</v>
      </c>
      <c r="I591" s="10">
        <v>0.3306</v>
      </c>
      <c r="J591" s="8">
        <v>0.16439999999999999</v>
      </c>
      <c r="K591">
        <v>0.16800000000000001</v>
      </c>
      <c r="L591" s="6">
        <v>0.3306</v>
      </c>
      <c r="M591" s="7">
        <v>0.16439999999999999</v>
      </c>
      <c r="N591">
        <v>0.16800000000000001</v>
      </c>
      <c r="O591" s="2" t="s">
        <v>49</v>
      </c>
      <c r="P591" s="2" t="s">
        <v>45</v>
      </c>
    </row>
    <row r="592" spans="1:16">
      <c r="A592" s="1">
        <v>40404</v>
      </c>
      <c r="B592">
        <v>38.293577999999997</v>
      </c>
      <c r="C592">
        <v>-76.276655000000005</v>
      </c>
      <c r="D592">
        <v>1</v>
      </c>
      <c r="E592">
        <v>5.1999999999999998E-3</v>
      </c>
      <c r="F592">
        <v>1.0699999999999999E-2</v>
      </c>
      <c r="G592">
        <v>1.2800000000000001E-2</v>
      </c>
      <c r="H592" s="12">
        <f>IFERROR(LOG10(J592/I592),"")</f>
        <v>-0.3688424313493856</v>
      </c>
      <c r="I592" s="10">
        <v>8.3699999999999997E-2</v>
      </c>
      <c r="J592" s="8">
        <v>3.5799999999999998E-2</v>
      </c>
      <c r="K592">
        <v>4.2799999999999998E-2</v>
      </c>
      <c r="L592" s="6">
        <v>8.3699999999999997E-2</v>
      </c>
      <c r="M592" s="7">
        <v>3.5799999999999998E-2</v>
      </c>
      <c r="N592">
        <v>4.2799999999999998E-2</v>
      </c>
      <c r="O592" s="2" t="s">
        <v>49</v>
      </c>
      <c r="P592" s="2" t="s">
        <v>45</v>
      </c>
    </row>
    <row r="593" spans="1:16">
      <c r="A593" s="1">
        <v>40404</v>
      </c>
      <c r="B593">
        <v>38.293577999999997</v>
      </c>
      <c r="C593">
        <v>-76.276655000000005</v>
      </c>
      <c r="D593">
        <v>1</v>
      </c>
      <c r="E593">
        <v>1E-3</v>
      </c>
      <c r="F593">
        <v>3.0000000000000001E-3</v>
      </c>
      <c r="G593">
        <v>2.3E-3</v>
      </c>
      <c r="H593" s="12">
        <f>IFERROR(LOG10(J593/I593),"")</f>
        <v>-0.11238599913497355</v>
      </c>
      <c r="I593" s="10">
        <v>0.13639999999999999</v>
      </c>
      <c r="J593" s="8">
        <v>0.1053</v>
      </c>
      <c r="K593">
        <v>0.1072</v>
      </c>
      <c r="L593" s="6">
        <v>0.13639999999999999</v>
      </c>
      <c r="M593" s="7">
        <v>0.1053</v>
      </c>
      <c r="N593">
        <v>0.1072</v>
      </c>
      <c r="O593" s="2" t="s">
        <v>49</v>
      </c>
      <c r="P593" s="2" t="s">
        <v>45</v>
      </c>
    </row>
    <row r="594" spans="1:16">
      <c r="A594" s="1">
        <v>40404</v>
      </c>
      <c r="B594">
        <v>38.293577999999997</v>
      </c>
      <c r="C594">
        <v>-76.276655000000005</v>
      </c>
      <c r="D594">
        <v>1</v>
      </c>
      <c r="E594">
        <v>8.9999999999999998E-4</v>
      </c>
      <c r="F594">
        <v>8.0000000000000002E-3</v>
      </c>
      <c r="G594">
        <v>9.1999999999999998E-3</v>
      </c>
      <c r="H594" s="12">
        <f>IFERROR(LOG10(J594/I594),"")</f>
        <v>-0.13609553867110968</v>
      </c>
      <c r="I594" s="10">
        <v>3.6799999999999999E-2</v>
      </c>
      <c r="J594" s="8">
        <v>2.69E-2</v>
      </c>
      <c r="K594">
        <v>3.09E-2</v>
      </c>
      <c r="L594" s="6">
        <v>3.6799999999999999E-2</v>
      </c>
      <c r="M594" s="7">
        <v>2.69E-2</v>
      </c>
      <c r="N594">
        <v>3.09E-2</v>
      </c>
      <c r="O594" s="2" t="s">
        <v>49</v>
      </c>
      <c r="P594" s="2" t="s">
        <v>45</v>
      </c>
    </row>
    <row r="595" spans="1:16">
      <c r="A595" s="1">
        <v>40404</v>
      </c>
      <c r="B595">
        <v>38.293577999999997</v>
      </c>
      <c r="C595">
        <v>-76.276655000000005</v>
      </c>
      <c r="D595">
        <v>1</v>
      </c>
      <c r="F595">
        <v>6.9999999999999999E-4</v>
      </c>
      <c r="G595">
        <v>8.0000000000000004E-4</v>
      </c>
      <c r="H595" s="12">
        <f>IFERROR(LOG10(J595/I595),"")</f>
        <v>-0.99545237224927929</v>
      </c>
      <c r="I595" s="10">
        <v>0.14249999999999999</v>
      </c>
      <c r="J595" s="8">
        <v>1.44E-2</v>
      </c>
      <c r="K595">
        <v>4.9200000000000001E-2</v>
      </c>
      <c r="L595" s="6">
        <v>0.14249999999999999</v>
      </c>
      <c r="M595" s="7">
        <v>1.44E-2</v>
      </c>
      <c r="N595">
        <v>4.9200000000000001E-2</v>
      </c>
      <c r="O595" s="2" t="s">
        <v>49</v>
      </c>
      <c r="P595" s="2" t="s">
        <v>45</v>
      </c>
    </row>
    <row r="596" spans="1:16">
      <c r="A596" s="1">
        <v>40404</v>
      </c>
      <c r="B596">
        <v>38.293577999999997</v>
      </c>
      <c r="C596">
        <v>-76.276655000000005</v>
      </c>
      <c r="D596">
        <v>1</v>
      </c>
      <c r="E596">
        <v>2E-3</v>
      </c>
      <c r="F596">
        <v>4.3E-3</v>
      </c>
      <c r="G596">
        <v>4.7999999999999996E-3</v>
      </c>
      <c r="H596" s="12">
        <f>IFERROR(LOG10(J596/I596),"")</f>
        <v>-0.46742677892990009</v>
      </c>
      <c r="I596" s="10">
        <v>4.4299999999999999E-2</v>
      </c>
      <c r="J596" s="8">
        <v>1.5100000000000001E-2</v>
      </c>
      <c r="K596">
        <v>1.6799999999999999E-2</v>
      </c>
      <c r="L596" s="6">
        <v>4.4299999999999999E-2</v>
      </c>
      <c r="M596" s="7">
        <v>1.5100000000000001E-2</v>
      </c>
      <c r="N596">
        <v>1.6799999999999999E-2</v>
      </c>
      <c r="O596" s="2" t="s">
        <v>49</v>
      </c>
      <c r="P596" s="2" t="s">
        <v>45</v>
      </c>
    </row>
    <row r="597" spans="1:16">
      <c r="A597" s="1">
        <v>40402</v>
      </c>
      <c r="B597">
        <v>39.133088000000001</v>
      </c>
      <c r="C597">
        <v>-76.330241999999998</v>
      </c>
      <c r="D597">
        <v>1</v>
      </c>
      <c r="E597">
        <v>1.5E-3</v>
      </c>
      <c r="F597">
        <v>-1E-4</v>
      </c>
      <c r="G597">
        <v>2.0000000000000001E-4</v>
      </c>
      <c r="H597" s="12">
        <f>IFERROR(LOG10(J597/I597),"")</f>
        <v>-0.97197127639975645</v>
      </c>
      <c r="I597" s="10">
        <v>0.16500000000000001</v>
      </c>
      <c r="J597" s="8">
        <v>1.7600000000000001E-2</v>
      </c>
      <c r="K597">
        <v>3.2000000000000002E-3</v>
      </c>
      <c r="L597" s="6">
        <v>0.16500000000000001</v>
      </c>
      <c r="M597" s="7">
        <v>1.7600000000000001E-2</v>
      </c>
      <c r="N597">
        <v>3.2000000000000002E-3</v>
      </c>
      <c r="O597" s="2" t="s">
        <v>49</v>
      </c>
      <c r="P597" s="2" t="s">
        <v>45</v>
      </c>
    </row>
    <row r="598" spans="1:16">
      <c r="A598" s="1">
        <v>40402</v>
      </c>
      <c r="B598">
        <v>39.133088000000001</v>
      </c>
      <c r="C598">
        <v>-76.330241999999998</v>
      </c>
      <c r="D598">
        <v>1</v>
      </c>
      <c r="F598">
        <v>2.5999999999999999E-3</v>
      </c>
      <c r="G598">
        <v>1E-4</v>
      </c>
      <c r="H598" s="12">
        <f>IFERROR(LOG10(J598/I598),"")</f>
        <v>-0.75160022294159756</v>
      </c>
      <c r="I598" s="10">
        <v>9.1999999999999998E-2</v>
      </c>
      <c r="J598" s="8">
        <v>1.6299999999999999E-2</v>
      </c>
      <c r="K598">
        <v>8.9999999999999998E-4</v>
      </c>
      <c r="L598" s="6">
        <v>9.1999999999999998E-2</v>
      </c>
      <c r="M598" s="7">
        <v>1.6299999999999999E-2</v>
      </c>
      <c r="N598">
        <v>8.9999999999999998E-4</v>
      </c>
      <c r="O598" s="2" t="s">
        <v>49</v>
      </c>
      <c r="P598" s="2" t="s">
        <v>45</v>
      </c>
    </row>
    <row r="599" spans="1:16">
      <c r="A599" s="1">
        <v>40402</v>
      </c>
      <c r="B599">
        <v>39.133088000000001</v>
      </c>
      <c r="C599">
        <v>-76.330241999999998</v>
      </c>
      <c r="D599">
        <v>1</v>
      </c>
      <c r="E599">
        <v>4.0000000000000001E-3</v>
      </c>
      <c r="F599">
        <v>-1E-4</v>
      </c>
      <c r="G599">
        <v>-6.9999999999999999E-4</v>
      </c>
      <c r="H599" s="12">
        <f>IFERROR(LOG10(J599/I599),"")</f>
        <v>-0.63815633667623894</v>
      </c>
      <c r="I599" s="10">
        <v>0.42380000000000001</v>
      </c>
      <c r="J599" s="8">
        <v>9.7500000000000003E-2</v>
      </c>
      <c r="K599">
        <v>0.32219999999999999</v>
      </c>
      <c r="L599" s="6">
        <v>0.42380000000000001</v>
      </c>
      <c r="M599" s="7">
        <v>9.7500000000000003E-2</v>
      </c>
      <c r="N599">
        <v>0.32219999999999999</v>
      </c>
      <c r="O599" s="2" t="s">
        <v>49</v>
      </c>
      <c r="P599" s="2" t="s">
        <v>45</v>
      </c>
    </row>
    <row r="600" spans="1:16">
      <c r="A600" s="1">
        <v>40402</v>
      </c>
      <c r="B600">
        <v>39.133088000000001</v>
      </c>
      <c r="C600">
        <v>-76.330241999999998</v>
      </c>
      <c r="D600">
        <v>1</v>
      </c>
      <c r="E600">
        <v>2.9999999999999997E-4</v>
      </c>
      <c r="F600">
        <v>1.61E-2</v>
      </c>
      <c r="G600">
        <v>1.7899999999999999E-2</v>
      </c>
      <c r="H600" s="12">
        <f>IFERROR(LOG10(J600/I600),"")</f>
        <v>-0.47444582618944892</v>
      </c>
      <c r="I600" s="10">
        <v>0.46929999999999999</v>
      </c>
      <c r="J600" s="8">
        <v>0.15740000000000001</v>
      </c>
      <c r="K600">
        <v>0.17519999999999999</v>
      </c>
      <c r="L600" s="6">
        <v>0.46929999999999999</v>
      </c>
      <c r="M600" s="7">
        <v>0.15740000000000001</v>
      </c>
      <c r="N600">
        <v>0.17519999999999999</v>
      </c>
      <c r="O600" s="2" t="s">
        <v>49</v>
      </c>
      <c r="P600" s="2" t="s">
        <v>45</v>
      </c>
    </row>
    <row r="601" spans="1:16">
      <c r="A601" s="1">
        <v>40403</v>
      </c>
      <c r="B601">
        <v>38.293577999999997</v>
      </c>
      <c r="C601">
        <v>-76.276655000000005</v>
      </c>
      <c r="D601">
        <v>1</v>
      </c>
      <c r="E601">
        <v>5.5999999999999999E-3</v>
      </c>
      <c r="F601">
        <v>1.43E-2</v>
      </c>
      <c r="G601">
        <v>3.8999999999999998E-3</v>
      </c>
      <c r="H601" s="12">
        <f>IFERROR(LOG10(J601/I601),"")</f>
        <v>-8.3047165129347331E-2</v>
      </c>
      <c r="I601" s="10">
        <v>0.28210000000000002</v>
      </c>
      <c r="J601" s="8">
        <v>0.23300000000000001</v>
      </c>
      <c r="K601">
        <v>9.5399999999999999E-2</v>
      </c>
      <c r="L601" s="6">
        <v>0.28210000000000002</v>
      </c>
      <c r="M601" s="7">
        <v>0.23300000000000001</v>
      </c>
      <c r="N601">
        <v>9.5399999999999999E-2</v>
      </c>
      <c r="O601" s="2" t="s">
        <v>49</v>
      </c>
      <c r="P601" s="2" t="s">
        <v>45</v>
      </c>
    </row>
    <row r="602" spans="1:16">
      <c r="A602" s="1">
        <v>40403</v>
      </c>
      <c r="B602">
        <v>38.293577999999997</v>
      </c>
      <c r="C602">
        <v>-76.276655000000005</v>
      </c>
      <c r="D602">
        <v>1</v>
      </c>
      <c r="F602">
        <v>8.0999999999999996E-3</v>
      </c>
      <c r="G602">
        <v>5.1000000000000004E-3</v>
      </c>
      <c r="H602" s="12">
        <f>IFERROR(LOG10(J602/I602),"")</f>
        <v>-0.19011938113751076</v>
      </c>
      <c r="I602" s="10">
        <v>4.0899999999999999E-2</v>
      </c>
      <c r="J602" s="8">
        <v>2.64E-2</v>
      </c>
      <c r="K602">
        <v>8.3000000000000001E-3</v>
      </c>
      <c r="L602" s="6">
        <v>4.0899999999999999E-2</v>
      </c>
      <c r="M602" s="7">
        <v>2.64E-2</v>
      </c>
      <c r="N602">
        <v>8.3000000000000001E-3</v>
      </c>
      <c r="O602" s="2" t="s">
        <v>49</v>
      </c>
      <c r="P602" s="2" t="s">
        <v>45</v>
      </c>
    </row>
    <row r="603" spans="1:16">
      <c r="A603" s="1">
        <v>40403</v>
      </c>
      <c r="B603">
        <v>38.293577999999997</v>
      </c>
      <c r="C603">
        <v>-76.276655000000005</v>
      </c>
      <c r="D603">
        <v>1</v>
      </c>
      <c r="E603">
        <v>3.0000000000000001E-3</v>
      </c>
      <c r="F603">
        <v>3.2000000000000002E-3</v>
      </c>
      <c r="G603">
        <v>2.5999999999999999E-3</v>
      </c>
      <c r="H603" s="12">
        <f>IFERROR(LOG10(J603/I603),"")</f>
        <v>-0.31660397652146394</v>
      </c>
      <c r="I603" s="10">
        <v>0.2044</v>
      </c>
      <c r="J603" s="8">
        <v>9.8599999999999993E-2</v>
      </c>
      <c r="K603">
        <v>8.7300000000000003E-2</v>
      </c>
      <c r="L603" s="6">
        <v>0.2044</v>
      </c>
      <c r="M603" s="7">
        <v>9.8599999999999993E-2</v>
      </c>
      <c r="N603">
        <v>8.7300000000000003E-2</v>
      </c>
      <c r="O603" s="2" t="s">
        <v>49</v>
      </c>
      <c r="P603" s="2" t="s">
        <v>45</v>
      </c>
    </row>
    <row r="604" spans="1:16">
      <c r="A604" s="1">
        <v>40403</v>
      </c>
      <c r="B604">
        <v>38.293577999999997</v>
      </c>
      <c r="C604">
        <v>-76.276655000000005</v>
      </c>
      <c r="D604">
        <v>1</v>
      </c>
      <c r="E604">
        <v>3.0000000000000001E-3</v>
      </c>
      <c r="F604">
        <v>8.2000000000000007E-3</v>
      </c>
      <c r="G604">
        <v>5.1999999999999998E-3</v>
      </c>
      <c r="H604" s="12">
        <f>IFERROR(LOG10(J604/I604),"")</f>
        <v>-0.3358995075084823</v>
      </c>
      <c r="I604" s="10">
        <v>6.7400000000000002E-2</v>
      </c>
      <c r="J604" s="8">
        <v>3.1099999999999999E-2</v>
      </c>
      <c r="K604">
        <v>1.9599999999999999E-2</v>
      </c>
      <c r="L604" s="6">
        <v>6.7400000000000002E-2</v>
      </c>
      <c r="M604" s="7">
        <v>3.1099999999999999E-2</v>
      </c>
      <c r="N604">
        <v>1.9599999999999999E-2</v>
      </c>
      <c r="O604" s="2" t="s">
        <v>49</v>
      </c>
      <c r="P604" s="2" t="s">
        <v>45</v>
      </c>
    </row>
    <row r="605" spans="1:16">
      <c r="A605" s="1">
        <v>40405</v>
      </c>
      <c r="B605">
        <v>37.516432999999999</v>
      </c>
      <c r="C605">
        <v>-76.022203000000005</v>
      </c>
      <c r="D605">
        <v>1</v>
      </c>
      <c r="E605">
        <v>3.4200000000000001E-2</v>
      </c>
      <c r="F605">
        <v>1.24E-2</v>
      </c>
      <c r="G605">
        <v>9.1999999999999998E-3</v>
      </c>
      <c r="H605" s="12">
        <f>IFERROR(LOG10(J605/I605),"")</f>
        <v>-0.51970270288809595</v>
      </c>
      <c r="I605" s="10">
        <v>0.26340000000000002</v>
      </c>
      <c r="J605" s="8">
        <v>7.9600000000000004E-2</v>
      </c>
      <c r="K605">
        <v>6.3799999999999996E-2</v>
      </c>
      <c r="L605" s="6">
        <v>0.26340000000000002</v>
      </c>
      <c r="M605" s="7">
        <v>7.9600000000000004E-2</v>
      </c>
      <c r="N605">
        <v>6.3799999999999996E-2</v>
      </c>
      <c r="O605" s="2" t="s">
        <v>49</v>
      </c>
      <c r="P605" s="2" t="s">
        <v>45</v>
      </c>
    </row>
    <row r="606" spans="1:16">
      <c r="A606" s="1">
        <v>40405</v>
      </c>
      <c r="B606">
        <v>37.516432999999999</v>
      </c>
      <c r="C606">
        <v>-76.022203000000005</v>
      </c>
      <c r="D606">
        <v>1</v>
      </c>
      <c r="F606">
        <v>9.1999999999999998E-3</v>
      </c>
      <c r="G606">
        <v>8.6E-3</v>
      </c>
      <c r="H606" s="12">
        <f>IFERROR(LOG10(J606/I606),"")</f>
        <v>-0.75597379506963958</v>
      </c>
      <c r="I606" s="10">
        <v>8.7800000000000003E-2</v>
      </c>
      <c r="J606" s="8">
        <v>1.54E-2</v>
      </c>
      <c r="K606">
        <v>1.43E-2</v>
      </c>
      <c r="L606" s="6">
        <v>8.7800000000000003E-2</v>
      </c>
      <c r="M606" s="7">
        <v>1.54E-2</v>
      </c>
      <c r="N606">
        <v>1.43E-2</v>
      </c>
      <c r="O606" s="2" t="s">
        <v>49</v>
      </c>
      <c r="P606" s="2" t="s">
        <v>45</v>
      </c>
    </row>
    <row r="607" spans="1:16">
      <c r="A607" s="1">
        <v>40405</v>
      </c>
      <c r="B607">
        <v>37.516432999999999</v>
      </c>
      <c r="C607">
        <v>-76.022203000000005</v>
      </c>
      <c r="D607">
        <v>1</v>
      </c>
      <c r="E607">
        <v>2.7000000000000001E-3</v>
      </c>
      <c r="F607">
        <v>2.3999999999999998E-3</v>
      </c>
      <c r="G607">
        <v>8.9999999999999998E-4</v>
      </c>
      <c r="H607" s="12">
        <f>IFERROR(LOG10(J607/I607),"")</f>
        <v>-0.47845651935921923</v>
      </c>
      <c r="I607" s="10">
        <v>0.1303</v>
      </c>
      <c r="J607" s="8">
        <v>4.3299999999999998E-2</v>
      </c>
      <c r="K607">
        <v>4.4200000000000003E-2</v>
      </c>
      <c r="L607" s="6">
        <v>0.1303</v>
      </c>
      <c r="M607" s="7">
        <v>4.3299999999999998E-2</v>
      </c>
      <c r="N607">
        <v>4.4200000000000003E-2</v>
      </c>
      <c r="O607" s="2" t="s">
        <v>49</v>
      </c>
      <c r="P607" s="2" t="s">
        <v>45</v>
      </c>
    </row>
    <row r="608" spans="1:16">
      <c r="A608" s="1">
        <v>40405</v>
      </c>
      <c r="B608">
        <v>37.516432999999999</v>
      </c>
      <c r="C608">
        <v>-76.022203000000005</v>
      </c>
      <c r="D608">
        <v>1</v>
      </c>
      <c r="E608">
        <v>2.5999999999999999E-3</v>
      </c>
      <c r="F608">
        <v>1.11E-2</v>
      </c>
      <c r="G608">
        <v>8.3999999999999995E-3</v>
      </c>
      <c r="H608" s="12">
        <f>IFERROR(LOG10(J608/I608),"")</f>
        <v>-0.54751857842852103</v>
      </c>
      <c r="I608" s="10">
        <v>6.9500000000000006E-2</v>
      </c>
      <c r="J608" s="8">
        <v>1.9699999999999999E-2</v>
      </c>
      <c r="K608">
        <v>1.4999999999999999E-2</v>
      </c>
      <c r="L608" s="6">
        <v>6.9500000000000006E-2</v>
      </c>
      <c r="M608" s="7">
        <v>1.9699999999999999E-2</v>
      </c>
      <c r="N608">
        <v>1.4999999999999999E-2</v>
      </c>
      <c r="O608" s="2" t="s">
        <v>49</v>
      </c>
      <c r="P608" s="2" t="s">
        <v>45</v>
      </c>
    </row>
    <row r="609" spans="1:16">
      <c r="A609" s="1">
        <v>35361</v>
      </c>
      <c r="B609">
        <v>-76.5642</v>
      </c>
      <c r="C609">
        <v>169.09450000000001</v>
      </c>
      <c r="D609">
        <v>3</v>
      </c>
      <c r="H609" s="12">
        <f>IFERROR(LOG10(J609/I609),"")</f>
        <v>0.61101483398088885</v>
      </c>
      <c r="I609" s="11">
        <f>IF(L609="","",L609/1000/24)</f>
        <v>4.9999999999999996E-6</v>
      </c>
      <c r="J609" s="9">
        <f>IF(M609="","",M609/1000/24)</f>
        <v>2.0416666666666667E-5</v>
      </c>
      <c r="K609" s="9">
        <f>IF(N609="","",N609/1000/24)</f>
        <v>2.0958333333333335E-4</v>
      </c>
      <c r="L609" s="6">
        <v>0.12</v>
      </c>
      <c r="M609" s="7">
        <v>0.49</v>
      </c>
      <c r="N609">
        <v>5.03</v>
      </c>
      <c r="P609" s="2" t="s">
        <v>44</v>
      </c>
    </row>
    <row r="610" spans="1:16">
      <c r="A610" s="1">
        <v>35362</v>
      </c>
      <c r="B610">
        <v>-76.5642</v>
      </c>
      <c r="C610">
        <v>169.09450000000001</v>
      </c>
      <c r="D610">
        <v>11</v>
      </c>
      <c r="H610" s="12">
        <f>IFERROR(LOG10(J610/I610),"")</f>
        <v>-1.2234456417011586E-2</v>
      </c>
      <c r="I610" s="11">
        <f>IF(L610="","",L610/1000/24)</f>
        <v>1.4999999999999999E-5</v>
      </c>
      <c r="J610" s="9">
        <f>IF(M610="","",M610/1000/24)</f>
        <v>1.4583333333333333E-5</v>
      </c>
      <c r="K610" s="9">
        <f>IF(N610="","",N610/1000/24)</f>
        <v>2.7E-4</v>
      </c>
      <c r="L610" s="6">
        <v>0.36</v>
      </c>
      <c r="M610" s="7">
        <v>0.35</v>
      </c>
      <c r="N610">
        <v>6.48</v>
      </c>
      <c r="P610" s="2" t="s">
        <v>44</v>
      </c>
    </row>
    <row r="611" spans="1:16">
      <c r="A611" s="1">
        <v>35363</v>
      </c>
      <c r="B611">
        <v>-76.5642</v>
      </c>
      <c r="C611">
        <v>169.09450000000001</v>
      </c>
      <c r="D611">
        <v>23</v>
      </c>
      <c r="H611" s="12">
        <f>IFERROR(LOG10(J611/I611),"")</f>
        <v>0.3010299956639812</v>
      </c>
      <c r="I611" s="11">
        <f>IF(L611="","",L611/1000/24)</f>
        <v>5.833333333333334E-6</v>
      </c>
      <c r="J611" s="9">
        <f>IF(M611="","",M611/1000/24)</f>
        <v>1.1666666666666668E-5</v>
      </c>
      <c r="K611" s="9">
        <f>IF(N611="","",N611/1000/24)</f>
        <v>3.2499999999999999E-4</v>
      </c>
      <c r="L611" s="6">
        <v>0.14000000000000001</v>
      </c>
      <c r="M611" s="7">
        <v>0.28000000000000003</v>
      </c>
      <c r="N611">
        <v>7.8</v>
      </c>
      <c r="P611" s="2" t="s">
        <v>44</v>
      </c>
    </row>
    <row r="612" spans="1:16">
      <c r="A612" s="1">
        <v>35364</v>
      </c>
      <c r="B612">
        <v>-76.5642</v>
      </c>
      <c r="C612">
        <v>169.09450000000001</v>
      </c>
      <c r="D612">
        <v>31</v>
      </c>
      <c r="H612" s="12" t="str">
        <f>IFERROR(LOG10(J612/I612),"")</f>
        <v/>
      </c>
      <c r="I612" s="11" t="str">
        <f>IF(L612="","",L612/1000/24)</f>
        <v/>
      </c>
      <c r="J612" s="9">
        <f>IF(M612="","",M612/1000/24)</f>
        <v>2.8749999999999997E-5</v>
      </c>
      <c r="K612" s="9" t="str">
        <f>IF(N612="","",N612/1000/24)</f>
        <v/>
      </c>
      <c r="M612" s="7">
        <v>0.69</v>
      </c>
      <c r="N612"/>
      <c r="P612" s="2" t="s">
        <v>44</v>
      </c>
    </row>
    <row r="613" spans="1:16">
      <c r="A613" s="1">
        <v>35365</v>
      </c>
      <c r="B613">
        <v>-76.5642</v>
      </c>
      <c r="C613">
        <v>169.09450000000001</v>
      </c>
      <c r="D613">
        <v>38</v>
      </c>
      <c r="H613" s="12" t="str">
        <f>IFERROR(LOG10(J613/I613),"")</f>
        <v/>
      </c>
      <c r="I613" s="11" t="str">
        <f>IF(L613="","",L613/1000/24)</f>
        <v/>
      </c>
      <c r="J613" s="9">
        <f>IF(M613="","",M613/1000/24)</f>
        <v>2.916666666666667E-6</v>
      </c>
      <c r="K613" s="9" t="str">
        <f>IF(N613="","",N613/1000/24)</f>
        <v/>
      </c>
      <c r="M613" s="7">
        <v>7.0000000000000007E-2</v>
      </c>
      <c r="N613"/>
      <c r="P613" s="2" t="s">
        <v>44</v>
      </c>
    </row>
    <row r="614" spans="1:16">
      <c r="A614" s="1">
        <v>35366</v>
      </c>
      <c r="B614">
        <v>-76.5642</v>
      </c>
      <c r="C614">
        <v>169.09450000000001</v>
      </c>
      <c r="D614">
        <v>49</v>
      </c>
      <c r="H614" s="12" t="str">
        <f>IFERROR(LOG10(J614/I614),"")</f>
        <v/>
      </c>
      <c r="I614" s="11" t="str">
        <f>IF(L614="","",L614/1000/24)</f>
        <v/>
      </c>
      <c r="J614" s="9">
        <f>IF(M614="","",M614/1000/24)</f>
        <v>2.4999999999999998E-6</v>
      </c>
      <c r="K614" s="9">
        <f>IF(N614="","",N614/1000/24)</f>
        <v>5.1666666666666664E-5</v>
      </c>
      <c r="M614" s="7">
        <v>0.06</v>
      </c>
      <c r="N614">
        <v>1.24</v>
      </c>
      <c r="P614" s="2" t="s">
        <v>44</v>
      </c>
    </row>
    <row r="615" spans="1:16">
      <c r="A615" s="1">
        <v>35367</v>
      </c>
      <c r="B615">
        <v>-76.5642</v>
      </c>
      <c r="C615">
        <v>169.09450000000001</v>
      </c>
      <c r="D615">
        <v>76</v>
      </c>
      <c r="H615" s="12" t="str">
        <f>IFERROR(LOG10(J615/I615),"")</f>
        <v/>
      </c>
      <c r="I615" s="11" t="str">
        <f>IF(L615="","",L615/1000/24)</f>
        <v/>
      </c>
      <c r="J615" s="9" t="str">
        <f>IF(M615="","",M615/1000/24)</f>
        <v/>
      </c>
      <c r="K615" s="9">
        <f>IF(N615="","",N615/1000/24)</f>
        <v>7.9166666666666665E-6</v>
      </c>
      <c r="N615">
        <v>0.19</v>
      </c>
      <c r="P615" s="2" t="s">
        <v>44</v>
      </c>
    </row>
    <row r="616" spans="1:16">
      <c r="A616" s="1">
        <v>35368</v>
      </c>
      <c r="B616">
        <v>-76.494299999999996</v>
      </c>
      <c r="C616">
        <v>-177.86199999999999</v>
      </c>
      <c r="D616">
        <v>2</v>
      </c>
      <c r="H616" s="12">
        <f>IFERROR(LOG10(J616/I616),"")</f>
        <v>-0.48913442121349171</v>
      </c>
      <c r="I616" s="11">
        <f>IF(L616="","",L616/1000/24)</f>
        <v>3.9708333333333327E-4</v>
      </c>
      <c r="J616" s="9">
        <f>IF(M616="","",M616/1000/24)</f>
        <v>1.2874999999999999E-4</v>
      </c>
      <c r="K616" s="9">
        <f>IF(N616="","",N616/1000/24)</f>
        <v>1.7175000000000001E-3</v>
      </c>
      <c r="L616" s="6">
        <v>9.5299999999999994</v>
      </c>
      <c r="M616" s="7">
        <v>3.09</v>
      </c>
      <c r="N616">
        <v>41.22</v>
      </c>
      <c r="P616" s="2" t="s">
        <v>44</v>
      </c>
    </row>
    <row r="617" spans="1:16">
      <c r="A617" s="1">
        <v>35369</v>
      </c>
      <c r="B617">
        <v>-76.494299999999996</v>
      </c>
      <c r="C617">
        <v>-177.86199999999999</v>
      </c>
      <c r="D617">
        <v>8</v>
      </c>
      <c r="H617" s="12">
        <f>IFERROR(LOG10(J617/I617),"")</f>
        <v>-0.78588787489725209</v>
      </c>
      <c r="I617" s="11">
        <f>IF(L617="","",L617/1000/24)</f>
        <v>7.7875000000000004E-4</v>
      </c>
      <c r="J617" s="9">
        <f>IF(M617="","",M617/1000/24)</f>
        <v>1.2750000000000001E-4</v>
      </c>
      <c r="K617" s="9">
        <f>IF(N617="","",N617/1000/24)</f>
        <v>5.9520833333333335E-3</v>
      </c>
      <c r="L617" s="6">
        <v>18.690000000000001</v>
      </c>
      <c r="M617" s="7">
        <v>3.06</v>
      </c>
      <c r="N617">
        <v>142.85</v>
      </c>
      <c r="P617" s="2" t="s">
        <v>44</v>
      </c>
    </row>
    <row r="618" spans="1:16">
      <c r="A618" s="1">
        <v>35370</v>
      </c>
      <c r="B618">
        <v>-76.494299999999996</v>
      </c>
      <c r="C618">
        <v>-177.86199999999999</v>
      </c>
      <c r="D618">
        <v>17</v>
      </c>
      <c r="H618" s="12">
        <f>IFERROR(LOG10(J618/I618),"")</f>
        <v>-0.5998993178070352</v>
      </c>
      <c r="I618" s="11">
        <f>IF(L618="","",L618/1000/24)</f>
        <v>6.6833333333333328E-4</v>
      </c>
      <c r="J618" s="9">
        <f>IF(M618="","",M618/1000/24)</f>
        <v>1.6791666666666669E-4</v>
      </c>
      <c r="K618" s="9">
        <f>IF(N618="","",N618/1000/24)</f>
        <v>7.4916666666666673E-3</v>
      </c>
      <c r="L618" s="6">
        <v>16.04</v>
      </c>
      <c r="M618" s="7">
        <v>4.03</v>
      </c>
      <c r="N618">
        <v>179.8</v>
      </c>
      <c r="P618" s="2" t="s">
        <v>44</v>
      </c>
    </row>
    <row r="619" spans="1:16">
      <c r="A619" s="1">
        <v>35371</v>
      </c>
      <c r="B619">
        <v>-76.494299999999996</v>
      </c>
      <c r="C619">
        <v>-177.86199999999999</v>
      </c>
      <c r="D619">
        <v>23</v>
      </c>
      <c r="H619" s="12">
        <f>IFERROR(LOG10(J619/I619),"")</f>
        <v>-0.93550137313087889</v>
      </c>
      <c r="I619" s="11">
        <f>IF(L619="","",L619/1000/24)</f>
        <v>6.1416666666666662E-4</v>
      </c>
      <c r="J619" s="9">
        <f>IF(M619="","",M619/1000/24)</f>
        <v>7.1249999999999997E-5</v>
      </c>
      <c r="K619" s="9">
        <f>IF(N619="","",N619/1000/24)</f>
        <v>7.2666666666666669E-3</v>
      </c>
      <c r="L619" s="6">
        <v>14.74</v>
      </c>
      <c r="M619" s="7">
        <v>1.71</v>
      </c>
      <c r="N619">
        <v>174.4</v>
      </c>
      <c r="P619" s="2" t="s">
        <v>44</v>
      </c>
    </row>
    <row r="620" spans="1:16">
      <c r="A620" s="1">
        <v>35372</v>
      </c>
      <c r="B620">
        <v>-76.494299999999996</v>
      </c>
      <c r="C620">
        <v>-177.86199999999999</v>
      </c>
      <c r="D620">
        <v>28</v>
      </c>
      <c r="H620" s="12">
        <f>IFERROR(LOG10(J620/I620),"")</f>
        <v>-0.63179766576140939</v>
      </c>
      <c r="I620" s="11">
        <f>IF(L620="","",L620/1000/24)</f>
        <v>5.7291666666666667E-4</v>
      </c>
      <c r="J620" s="9">
        <f>IF(M620="","",M620/1000/24)</f>
        <v>1.3375E-4</v>
      </c>
      <c r="K620" s="9">
        <f>IF(N620="","",N620/1000/24)</f>
        <v>6.7358333333333333E-3</v>
      </c>
      <c r="L620" s="6">
        <v>13.75</v>
      </c>
      <c r="M620" s="7">
        <v>3.21</v>
      </c>
      <c r="N620">
        <v>161.66</v>
      </c>
      <c r="P620" s="2" t="s">
        <v>44</v>
      </c>
    </row>
    <row r="621" spans="1:16">
      <c r="A621" s="1">
        <v>35373</v>
      </c>
      <c r="B621">
        <v>-76.494299999999996</v>
      </c>
      <c r="C621">
        <v>-177.86199999999999</v>
      </c>
      <c r="D621">
        <v>36</v>
      </c>
      <c r="H621" s="12">
        <f>IFERROR(LOG10(J621/I621),"")</f>
        <v>-0.69471218119347733</v>
      </c>
      <c r="I621" s="11">
        <f>IF(L621="","",L621/1000/24)</f>
        <v>6.7666666666666656E-4</v>
      </c>
      <c r="J621" s="9">
        <f>IF(M621="","",M621/1000/24)</f>
        <v>1.3666666666666666E-4</v>
      </c>
      <c r="K621" s="9">
        <f>IF(N621="","",N621/1000/24)</f>
        <v>4.7554166666666665E-3</v>
      </c>
      <c r="L621" s="6">
        <v>16.239999999999998</v>
      </c>
      <c r="M621" s="7">
        <v>3.28</v>
      </c>
      <c r="N621">
        <v>114.13</v>
      </c>
      <c r="P621" s="2" t="s">
        <v>44</v>
      </c>
    </row>
    <row r="622" spans="1:16">
      <c r="A622" s="1">
        <v>35374</v>
      </c>
      <c r="B622">
        <v>-76.494299999999996</v>
      </c>
      <c r="C622">
        <v>-177.86199999999999</v>
      </c>
      <c r="D622">
        <v>56</v>
      </c>
      <c r="H622" s="12">
        <f>IFERROR(LOG10(J622/I622),"")</f>
        <v>-0.51662979600333614</v>
      </c>
      <c r="I622" s="11">
        <f>IF(L622="","",L622/1000/24)</f>
        <v>4.5041666666666667E-4</v>
      </c>
      <c r="J622" s="9">
        <f>IF(M622="","",M622/1000/24)</f>
        <v>1.3708333333333332E-4</v>
      </c>
      <c r="K622" s="9">
        <f>IF(N622="","",N622/1000/24)</f>
        <v>2.1995833333333333E-3</v>
      </c>
      <c r="L622" s="6">
        <v>10.81</v>
      </c>
      <c r="M622" s="7">
        <v>3.29</v>
      </c>
      <c r="N622">
        <v>52.79</v>
      </c>
      <c r="P622" s="2" t="s">
        <v>44</v>
      </c>
    </row>
    <row r="623" spans="1:16">
      <c r="A623" s="1">
        <v>35375</v>
      </c>
      <c r="B623">
        <v>-76.515299999999996</v>
      </c>
      <c r="C623">
        <v>168.9581</v>
      </c>
      <c r="D623">
        <v>3</v>
      </c>
      <c r="H623" s="12">
        <f>IFERROR(LOG10(J623/I623),"")</f>
        <v>-0.27936162149424493</v>
      </c>
      <c r="I623" s="11">
        <f>IF(L623="","",L623/1000/24)</f>
        <v>3.9908333333333332E-3</v>
      </c>
      <c r="J623" s="9">
        <f>IF(M623="","",M623/1000/24)</f>
        <v>2.0975E-3</v>
      </c>
      <c r="K623" s="9">
        <f>IF(N623="","",N623/1000/24)</f>
        <v>1.3619166666666668E-2</v>
      </c>
      <c r="L623" s="6">
        <v>95.78</v>
      </c>
      <c r="M623" s="7">
        <v>50.34</v>
      </c>
      <c r="N623">
        <v>326.86</v>
      </c>
      <c r="P623" s="2" t="s">
        <v>44</v>
      </c>
    </row>
    <row r="624" spans="1:16">
      <c r="A624" s="1">
        <v>35376</v>
      </c>
      <c r="B624">
        <v>-76.515299999999996</v>
      </c>
      <c r="C624">
        <v>168.9581</v>
      </c>
      <c r="D624">
        <v>7</v>
      </c>
      <c r="H624" s="12">
        <f>IFERROR(LOG10(J624/I624),"")</f>
        <v>-0.44772322465715764</v>
      </c>
      <c r="I624" s="11">
        <f>IF(L624="","",L624/1000/24)</f>
        <v>6.4075E-3</v>
      </c>
      <c r="J624" s="9">
        <f>IF(M624="","",M624/1000/24)</f>
        <v>2.2854166666666669E-3</v>
      </c>
      <c r="K624" s="9">
        <f>IF(N624="","",N624/1000/24)</f>
        <v>2.7681250000000001E-2</v>
      </c>
      <c r="L624" s="6">
        <v>153.78</v>
      </c>
      <c r="M624" s="7">
        <v>54.85</v>
      </c>
      <c r="N624">
        <v>664.35</v>
      </c>
      <c r="P624" s="2" t="s">
        <v>44</v>
      </c>
    </row>
    <row r="625" spans="1:16">
      <c r="A625" s="1">
        <v>35377</v>
      </c>
      <c r="B625">
        <v>-76.515299999999996</v>
      </c>
      <c r="C625">
        <v>168.9581</v>
      </c>
      <c r="D625">
        <v>14</v>
      </c>
      <c r="H625" s="12">
        <f>IFERROR(LOG10(J625/I625),"")</f>
        <v>-0.4697140877960595</v>
      </c>
      <c r="I625" s="11">
        <f>IF(L625="","",L625/1000/24)</f>
        <v>6.3704166666666666E-3</v>
      </c>
      <c r="J625" s="9">
        <f>IF(M625="","",M625/1000/24)</f>
        <v>2.16E-3</v>
      </c>
      <c r="K625" s="9">
        <f>IF(N625="","",N625/1000/24)</f>
        <v>3.188875E-2</v>
      </c>
      <c r="L625" s="6">
        <v>152.88999999999999</v>
      </c>
      <c r="M625" s="7">
        <v>51.84</v>
      </c>
      <c r="N625">
        <v>765.33</v>
      </c>
      <c r="P625" s="2" t="s">
        <v>44</v>
      </c>
    </row>
    <row r="626" spans="1:16">
      <c r="A626" s="1">
        <v>35378</v>
      </c>
      <c r="B626">
        <v>-76.515299999999996</v>
      </c>
      <c r="C626">
        <v>168.9581</v>
      </c>
      <c r="D626">
        <v>23</v>
      </c>
      <c r="H626" s="12">
        <f>IFERROR(LOG10(J626/I626),"")</f>
        <v>-0.48760796977978682</v>
      </c>
      <c r="I626" s="11">
        <f>IF(L626="","",L626/1000/24)</f>
        <v>4.9775000000000002E-3</v>
      </c>
      <c r="J626" s="9">
        <f>IF(M626="","",M626/1000/24)</f>
        <v>1.6195833333333331E-3</v>
      </c>
      <c r="K626" s="9">
        <f>IF(N626="","",N626/1000/24)</f>
        <v>2.3122500000000004E-2</v>
      </c>
      <c r="L626" s="6">
        <v>119.46</v>
      </c>
      <c r="M626" s="7">
        <v>38.869999999999997</v>
      </c>
      <c r="N626">
        <v>554.94000000000005</v>
      </c>
      <c r="P626" s="2" t="s">
        <v>44</v>
      </c>
    </row>
    <row r="627" spans="1:16">
      <c r="A627" s="1">
        <v>35379</v>
      </c>
      <c r="B627">
        <v>-76.515299999999996</v>
      </c>
      <c r="C627">
        <v>168.9581</v>
      </c>
      <c r="D627">
        <v>30</v>
      </c>
      <c r="H627" s="12">
        <f>IFERROR(LOG10(J627/I627),"")</f>
        <v>-1.0422547402792752</v>
      </c>
      <c r="I627" s="11">
        <f>IF(L627="","",L627/1000/24)</f>
        <v>1.4498333333333334E-2</v>
      </c>
      <c r="J627" s="9">
        <f>IF(M627="","",M627/1000/24)</f>
        <v>1.3154166666666668E-3</v>
      </c>
      <c r="K627" s="9">
        <f>IF(N627="","",N627/1000/24)</f>
        <v>8.2229166666666666E-3</v>
      </c>
      <c r="L627" s="6">
        <v>347.96</v>
      </c>
      <c r="M627" s="7">
        <v>31.57</v>
      </c>
      <c r="N627">
        <v>197.35</v>
      </c>
      <c r="P627" s="2" t="s">
        <v>44</v>
      </c>
    </row>
    <row r="628" spans="1:16">
      <c r="A628" s="1">
        <v>35380</v>
      </c>
      <c r="B628">
        <v>-76.515299999999996</v>
      </c>
      <c r="C628">
        <v>168.9581</v>
      </c>
      <c r="D628">
        <v>47</v>
      </c>
      <c r="H628" s="12">
        <f>IFERROR(LOG10(J628/I628),"")</f>
        <v>-0.93267328558739915</v>
      </c>
      <c r="I628" s="11">
        <f>IF(L628="","",L628/1000/24)</f>
        <v>1.2446249999999999E-2</v>
      </c>
      <c r="J628" s="9">
        <f>IF(M628="","",M628/1000/24)</f>
        <v>1.4533333333333334E-3</v>
      </c>
      <c r="K628" s="9">
        <f>IF(N628="","",N628/1000/24)</f>
        <v>4.4625000000000003E-3</v>
      </c>
      <c r="L628" s="6">
        <v>298.70999999999998</v>
      </c>
      <c r="M628" s="7">
        <v>34.880000000000003</v>
      </c>
      <c r="N628">
        <v>107.1</v>
      </c>
      <c r="P628" s="2" t="s">
        <v>44</v>
      </c>
    </row>
    <row r="629" spans="1:16">
      <c r="A629" s="1">
        <v>35380</v>
      </c>
      <c r="B629">
        <v>-76.492699999999999</v>
      </c>
      <c r="C629">
        <v>176.99019999999999</v>
      </c>
      <c r="D629">
        <v>10</v>
      </c>
      <c r="H629" s="12">
        <f>IFERROR(LOG10(J629/I629),"")</f>
        <v>5.9012118418131532E-2</v>
      </c>
      <c r="I629" s="11">
        <f>IF(L629="","",L629/1000/24)</f>
        <v>2.3475000000000002E-3</v>
      </c>
      <c r="J629" s="9">
        <f>IF(M629="","",M629/1000/24)</f>
        <v>2.6891666666666665E-3</v>
      </c>
      <c r="K629" s="9">
        <f>IF(N629="","",N629/1000/24)</f>
        <v>1.5244583333333334E-2</v>
      </c>
      <c r="L629" s="6">
        <v>56.34</v>
      </c>
      <c r="M629" s="7">
        <v>64.540000000000006</v>
      </c>
      <c r="N629">
        <v>365.87</v>
      </c>
      <c r="P629" s="2" t="s">
        <v>44</v>
      </c>
    </row>
    <row r="630" spans="1:16">
      <c r="A630" s="1">
        <v>35380</v>
      </c>
      <c r="B630">
        <v>-76.492699999999999</v>
      </c>
      <c r="C630">
        <v>176.99019999999999</v>
      </c>
      <c r="D630">
        <v>13</v>
      </c>
      <c r="H630" s="12">
        <f>IFERROR(LOG10(J630/I630),"")</f>
        <v>4.4246899535436632E-2</v>
      </c>
      <c r="I630" s="11">
        <f>IF(L630="","",L630/1000/24)</f>
        <v>2.6999999999999997E-3</v>
      </c>
      <c r="J630" s="9">
        <f>IF(M630="","",M630/1000/24)</f>
        <v>2.9895833333333332E-3</v>
      </c>
      <c r="K630" s="9">
        <f>IF(N630="","",N630/1000/24)</f>
        <v>2.3152499999999996E-2</v>
      </c>
      <c r="L630" s="6">
        <v>64.8</v>
      </c>
      <c r="M630" s="7">
        <v>71.75</v>
      </c>
      <c r="N630">
        <v>555.66</v>
      </c>
      <c r="P630" s="2" t="s">
        <v>44</v>
      </c>
    </row>
    <row r="631" spans="1:16">
      <c r="A631" s="1">
        <v>35380</v>
      </c>
      <c r="B631">
        <v>-76.492699999999999</v>
      </c>
      <c r="C631">
        <v>176.99019999999999</v>
      </c>
      <c r="D631">
        <v>20</v>
      </c>
      <c r="H631" s="12">
        <f>IFERROR(LOG10(J631/I631),"")</f>
        <v>-0.20268666623313614</v>
      </c>
      <c r="I631" s="11">
        <f>IF(L631="","",L631/1000/24)</f>
        <v>2.8233333333333335E-3</v>
      </c>
      <c r="J631" s="9">
        <f>IF(M631="","",M631/1000/24)</f>
        <v>1.7704166666666667E-3</v>
      </c>
      <c r="K631" s="9">
        <f>IF(N631="","",N631/1000/24)</f>
        <v>1.9670833333333333E-3</v>
      </c>
      <c r="L631" s="6">
        <v>67.760000000000005</v>
      </c>
      <c r="M631" s="7">
        <v>42.49</v>
      </c>
      <c r="N631">
        <v>47.21</v>
      </c>
      <c r="P631" s="2" t="s">
        <v>44</v>
      </c>
    </row>
    <row r="632" spans="1:16">
      <c r="A632" s="1">
        <v>35380</v>
      </c>
      <c r="B632">
        <v>-76.498900000000006</v>
      </c>
      <c r="C632">
        <v>175.99090000000001</v>
      </c>
      <c r="D632">
        <v>2</v>
      </c>
      <c r="H632" s="12">
        <f>IFERROR(LOG10(J632/I632),"")</f>
        <v>-0.38791031972514295</v>
      </c>
      <c r="I632" s="11">
        <f>IF(L632="","",L632/1000/24)</f>
        <v>2.5325E-3</v>
      </c>
      <c r="J632" s="9">
        <f>IF(M632="","",M632/1000/24)</f>
        <v>1.0366666666666666E-3</v>
      </c>
      <c r="K632" s="9">
        <f>IF(N632="","",N632/1000/24)</f>
        <v>1.8616666666666666E-3</v>
      </c>
      <c r="L632" s="6">
        <v>60.78</v>
      </c>
      <c r="M632" s="7">
        <v>24.88</v>
      </c>
      <c r="N632">
        <v>44.68</v>
      </c>
      <c r="P632" s="2" t="s">
        <v>44</v>
      </c>
    </row>
    <row r="633" spans="1:16">
      <c r="A633" s="1">
        <v>35380</v>
      </c>
      <c r="B633">
        <v>-76.498900000000006</v>
      </c>
      <c r="C633">
        <v>175.99090000000001</v>
      </c>
      <c r="D633">
        <v>3</v>
      </c>
      <c r="H633" s="12">
        <f>IFERROR(LOG10(J633/I633),"")</f>
        <v>-1.6195739551857465E-3</v>
      </c>
      <c r="I633" s="11">
        <f>IF(L633="","",L633/1000/24)</f>
        <v>2.9104166666666666E-3</v>
      </c>
      <c r="J633" s="9">
        <f>IF(M633="","",M633/1000/24)</f>
        <v>2.8995833333333334E-3</v>
      </c>
      <c r="K633" s="9">
        <f>IF(N633="","",N633/1000/24)</f>
        <v>8.7229166666666653E-3</v>
      </c>
      <c r="L633" s="6">
        <v>69.849999999999994</v>
      </c>
      <c r="M633" s="7">
        <v>69.59</v>
      </c>
      <c r="N633">
        <v>209.35</v>
      </c>
      <c r="P633" s="2" t="s">
        <v>44</v>
      </c>
    </row>
    <row r="634" spans="1:16">
      <c r="A634" s="1">
        <v>35380</v>
      </c>
      <c r="B634">
        <v>-76.498900000000006</v>
      </c>
      <c r="C634">
        <v>175.99090000000001</v>
      </c>
      <c r="D634">
        <v>6</v>
      </c>
      <c r="H634" s="12">
        <f>IFERROR(LOG10(J634/I634),"")</f>
        <v>3.6186847168067486E-3</v>
      </c>
      <c r="I634" s="11">
        <f>IF(L634="","",L634/1000/24)</f>
        <v>3.2866666666666665E-3</v>
      </c>
      <c r="J634" s="9">
        <f>IF(M634="","",M634/1000/24)</f>
        <v>3.3141666666666666E-3</v>
      </c>
      <c r="K634" s="9">
        <f>IF(N634="","",N634/1000/24)</f>
        <v>1.2385416666666668E-2</v>
      </c>
      <c r="L634" s="6">
        <v>78.88</v>
      </c>
      <c r="M634" s="7">
        <v>79.540000000000006</v>
      </c>
      <c r="N634">
        <v>297.25</v>
      </c>
      <c r="P634" s="2" t="s">
        <v>44</v>
      </c>
    </row>
    <row r="635" spans="1:16">
      <c r="A635" s="1">
        <v>35380</v>
      </c>
      <c r="B635">
        <v>-76.494</v>
      </c>
      <c r="C635">
        <v>175.994</v>
      </c>
      <c r="D635">
        <v>2</v>
      </c>
      <c r="H635" s="12">
        <f>IFERROR(LOG10(J635/I635),"")</f>
        <v>-0.23205660070566717</v>
      </c>
      <c r="I635" s="11">
        <f>IF(L635="","",L635/1000/24)</f>
        <v>9.9008333333333327E-3</v>
      </c>
      <c r="J635" s="9">
        <f>IF(M635="","",M635/1000/24)</f>
        <v>5.8024999999999995E-3</v>
      </c>
      <c r="K635" s="9">
        <f>IF(N635="","",N635/1000/24)</f>
        <v>1.4839583333333331E-2</v>
      </c>
      <c r="L635" s="6">
        <v>237.62</v>
      </c>
      <c r="M635" s="7">
        <v>139.26</v>
      </c>
      <c r="N635">
        <v>356.15</v>
      </c>
      <c r="P635" s="2" t="s">
        <v>44</v>
      </c>
    </row>
    <row r="636" spans="1:16">
      <c r="A636" s="1">
        <v>35380</v>
      </c>
      <c r="B636">
        <v>-76.494</v>
      </c>
      <c r="C636">
        <v>175.994</v>
      </c>
      <c r="D636">
        <v>3</v>
      </c>
      <c r="H636" s="12">
        <f>IFERROR(LOG10(J636/I636),"")</f>
        <v>-0.41495877212943433</v>
      </c>
      <c r="I636" s="11">
        <f>IF(L636="","",L636/1000/24)</f>
        <v>9.9316666666666668E-3</v>
      </c>
      <c r="J636" s="9">
        <f>IF(M636="","",M636/1000/24)</f>
        <v>3.8200000000000005E-3</v>
      </c>
      <c r="K636" s="9">
        <f>IF(N636="","",N636/1000/24)</f>
        <v>8.774166666666668E-3</v>
      </c>
      <c r="L636" s="6">
        <v>238.36</v>
      </c>
      <c r="M636" s="7">
        <v>91.68</v>
      </c>
      <c r="N636">
        <v>210.58</v>
      </c>
      <c r="P636" s="2" t="s">
        <v>44</v>
      </c>
    </row>
    <row r="637" spans="1:16">
      <c r="A637" s="1">
        <v>35380</v>
      </c>
      <c r="B637">
        <v>-76.494</v>
      </c>
      <c r="C637">
        <v>175.994</v>
      </c>
      <c r="D637">
        <v>6</v>
      </c>
      <c r="H637" s="12">
        <f>IFERROR(LOG10(J637/I637),"")</f>
        <v>-0.10625874377412045</v>
      </c>
      <c r="I637" s="11">
        <f>IF(L637="","",L637/1000/24)</f>
        <v>9.1516666666666656E-3</v>
      </c>
      <c r="J637" s="9">
        <f>IF(M637="","",M637/1000/24)</f>
        <v>7.1654166666666672E-3</v>
      </c>
      <c r="K637" s="9">
        <f>IF(N637="","",N637/1000/24)</f>
        <v>1.7211666666666667E-2</v>
      </c>
      <c r="L637" s="6">
        <v>219.64</v>
      </c>
      <c r="M637" s="7">
        <v>171.97</v>
      </c>
      <c r="N637">
        <v>413.08</v>
      </c>
      <c r="P637" s="2" t="s">
        <v>44</v>
      </c>
    </row>
    <row r="638" spans="1:16">
      <c r="A638" s="1">
        <v>35380</v>
      </c>
      <c r="B638">
        <v>-76.494</v>
      </c>
      <c r="C638">
        <v>175.994</v>
      </c>
      <c r="D638">
        <v>19</v>
      </c>
      <c r="H638" s="12" t="str">
        <f>IFERROR(LOG10(J638/I638),"")</f>
        <v/>
      </c>
      <c r="I638" s="11" t="str">
        <f>IF(L638="","",L638/1000/24)</f>
        <v/>
      </c>
      <c r="J638" s="9" t="str">
        <f>IF(M638="","",M638/1000/24)</f>
        <v/>
      </c>
      <c r="K638" s="9" t="str">
        <f>IF(N638="","",N638/1000/24)</f>
        <v/>
      </c>
      <c r="N638"/>
      <c r="P638" s="2" t="s">
        <v>44</v>
      </c>
    </row>
    <row r="639" spans="1:16">
      <c r="A639" s="1">
        <v>35380</v>
      </c>
      <c r="B639">
        <v>-76.499200000000002</v>
      </c>
      <c r="C639">
        <v>168.9862</v>
      </c>
      <c r="D639">
        <v>2</v>
      </c>
      <c r="H639" s="12">
        <f>IFERROR(LOG10(J639/I639),"")</f>
        <v>-0.10350138326876326</v>
      </c>
      <c r="I639" s="11">
        <f>IF(L639="","",L639/1000/24)</f>
        <v>2.1299999999999999E-3</v>
      </c>
      <c r="J639" s="9">
        <f>IF(M639="","",M639/1000/24)</f>
        <v>1.6783333333333335E-3</v>
      </c>
      <c r="K639" s="9">
        <f>IF(N639="","",N639/1000/24)</f>
        <v>3.2087500000000002E-3</v>
      </c>
      <c r="L639" s="6">
        <v>51.12</v>
      </c>
      <c r="M639" s="7">
        <v>40.28</v>
      </c>
      <c r="N639">
        <v>77.010000000000005</v>
      </c>
      <c r="P639" s="2" t="s">
        <v>44</v>
      </c>
    </row>
    <row r="640" spans="1:16">
      <c r="A640" s="1">
        <v>35380</v>
      </c>
      <c r="B640">
        <v>-76.499200000000002</v>
      </c>
      <c r="C640">
        <v>168.9862</v>
      </c>
      <c r="D640">
        <v>5</v>
      </c>
      <c r="H640" s="12">
        <f>IFERROR(LOG10(J640/I640),"")</f>
        <v>-0.27185673901204555</v>
      </c>
      <c r="I640" s="11">
        <f>IF(L640="","",L640/1000/24)</f>
        <v>2.0329166666666668E-3</v>
      </c>
      <c r="J640" s="9">
        <f>IF(M640="","",M640/1000/24)</f>
        <v>1.0870833333333333E-3</v>
      </c>
      <c r="K640" s="9">
        <f>IF(N640="","",N640/1000/24)</f>
        <v>6.1495833333333333E-3</v>
      </c>
      <c r="L640" s="6">
        <v>48.79</v>
      </c>
      <c r="M640" s="7">
        <v>26.09</v>
      </c>
      <c r="N640">
        <v>147.59</v>
      </c>
      <c r="P640" s="2" t="s">
        <v>44</v>
      </c>
    </row>
    <row r="641" spans="1:16">
      <c r="A641" s="1">
        <v>35380</v>
      </c>
      <c r="B641">
        <v>-76.499200000000002</v>
      </c>
      <c r="C641">
        <v>168.9862</v>
      </c>
      <c r="D641">
        <v>10</v>
      </c>
      <c r="H641" s="12">
        <f>IFERROR(LOG10(J641/I641),"")</f>
        <v>0.1550681017176482</v>
      </c>
      <c r="I641" s="11">
        <f>IF(L641="","",L641/1000/24)</f>
        <v>2.177916666666667E-3</v>
      </c>
      <c r="J641" s="9">
        <f>IF(M641="","",M641/1000/24)</f>
        <v>3.1125000000000002E-3</v>
      </c>
      <c r="K641" s="9">
        <f>IF(N641="","",N641/1000/24)</f>
        <v>5.2529166666666662E-3</v>
      </c>
      <c r="L641" s="6">
        <v>52.27</v>
      </c>
      <c r="M641" s="7">
        <v>74.7</v>
      </c>
      <c r="N641">
        <v>126.07</v>
      </c>
      <c r="P641" s="2" t="s">
        <v>44</v>
      </c>
    </row>
    <row r="642" spans="1:16">
      <c r="A642" s="1">
        <v>35380</v>
      </c>
      <c r="B642">
        <v>-76.498800000000003</v>
      </c>
      <c r="C642">
        <v>168.98140000000001</v>
      </c>
      <c r="D642">
        <v>17</v>
      </c>
      <c r="H642" s="12">
        <f>IFERROR(LOG10(J642/I642),"")</f>
        <v>-0.28037893392082197</v>
      </c>
      <c r="I642" s="11">
        <f>IF(L642="","",L642/1000/24)</f>
        <v>1.5058333333333332E-3</v>
      </c>
      <c r="J642" s="9">
        <f>IF(M642="","",M642/1000/24)</f>
        <v>7.8958333333333322E-4</v>
      </c>
      <c r="K642" s="9">
        <f>IF(N642="","",N642/1000/24)</f>
        <v>1.5095833333333333E-3</v>
      </c>
      <c r="L642" s="6">
        <v>36.14</v>
      </c>
      <c r="M642" s="7">
        <v>18.95</v>
      </c>
      <c r="N642">
        <v>36.229999999999997</v>
      </c>
      <c r="P642" s="2" t="s">
        <v>44</v>
      </c>
    </row>
    <row r="643" spans="1:16">
      <c r="A643" s="1">
        <v>35380</v>
      </c>
      <c r="B643">
        <v>-76.498800000000003</v>
      </c>
      <c r="C643">
        <v>168.98140000000001</v>
      </c>
      <c r="D643">
        <v>22</v>
      </c>
      <c r="H643" s="12">
        <f>IFERROR(LOG10(J643/I643),"")</f>
        <v>-0.22363636352961133</v>
      </c>
      <c r="I643" s="11">
        <f>IF(L643="","",L643/1000/24)</f>
        <v>1.5891666666666667E-3</v>
      </c>
      <c r="J643" s="9">
        <f>IF(M643="","",M643/1000/24)</f>
        <v>9.495833333333332E-4</v>
      </c>
      <c r="K643" s="9">
        <f>IF(N643="","",N643/1000/24)</f>
        <v>1.5791666666666664E-3</v>
      </c>
      <c r="L643" s="6">
        <v>38.14</v>
      </c>
      <c r="M643" s="7">
        <v>22.79</v>
      </c>
      <c r="N643">
        <v>37.9</v>
      </c>
      <c r="P643" s="2" t="s">
        <v>44</v>
      </c>
    </row>
    <row r="644" spans="1:16">
      <c r="A644" s="1">
        <v>35380</v>
      </c>
      <c r="B644">
        <v>-76.498800000000003</v>
      </c>
      <c r="C644">
        <v>168.98140000000001</v>
      </c>
      <c r="D644">
        <v>34</v>
      </c>
      <c r="H644" s="12">
        <f>IFERROR(LOG10(J644/I644),"")</f>
        <v>-0.48514539950536001</v>
      </c>
      <c r="I644" s="11">
        <f>IF(L644="","",L644/1000/24)</f>
        <v>9.1041666666666669E-4</v>
      </c>
      <c r="J644" s="9">
        <f>IF(M644="","",M644/1000/24)</f>
        <v>2.9791666666666665E-4</v>
      </c>
      <c r="K644" s="9">
        <f>IF(N644="","",N644/1000/24)</f>
        <v>2.3333333333333336E-5</v>
      </c>
      <c r="L644" s="6">
        <v>21.85</v>
      </c>
      <c r="M644" s="7">
        <v>7.15</v>
      </c>
      <c r="N644">
        <v>0.56000000000000005</v>
      </c>
      <c r="P644" s="2" t="s">
        <v>44</v>
      </c>
    </row>
    <row r="645" spans="1:16">
      <c r="A645" s="1">
        <v>35380</v>
      </c>
      <c r="B645">
        <v>-76.505700000000004</v>
      </c>
      <c r="C645">
        <v>-177.96369999999999</v>
      </c>
      <c r="D645">
        <v>3</v>
      </c>
      <c r="H645" s="12">
        <f>IFERROR(LOG10(J645/I645),"")</f>
        <v>-0.57271985913617207</v>
      </c>
      <c r="I645" s="11">
        <f>IF(L645="","",L645/1000/24)</f>
        <v>3.1000000000000005E-7</v>
      </c>
      <c r="J645" s="9">
        <f>IF(M645="","",M645/1000/24)</f>
        <v>8.2916666666666671E-8</v>
      </c>
      <c r="K645" s="9">
        <f>IF(N645="","",N645/1000/24)</f>
        <v>1.9987499999999997E-6</v>
      </c>
      <c r="L645" s="6">
        <v>7.4400000000000004E-3</v>
      </c>
      <c r="M645" s="7">
        <v>1.99E-3</v>
      </c>
      <c r="N645">
        <v>4.7969999999999999E-2</v>
      </c>
      <c r="P645" s="2" t="s">
        <v>44</v>
      </c>
    </row>
    <row r="646" spans="1:16">
      <c r="A646" s="1">
        <v>35380</v>
      </c>
      <c r="B646">
        <v>-76.505700000000004</v>
      </c>
      <c r="C646">
        <v>-177.96369999999999</v>
      </c>
      <c r="D646">
        <v>15</v>
      </c>
      <c r="H646" s="12">
        <f>IFERROR(LOG10(J646/I646),"")</f>
        <v>-0.16543319087362462</v>
      </c>
      <c r="I646" s="11">
        <f>IF(L646="","",L646/1000/24)</f>
        <v>3.3541666666666665E-7</v>
      </c>
      <c r="J646" s="9">
        <f>IF(M646="","",M646/1000/24)</f>
        <v>2.2916666666666666E-7</v>
      </c>
      <c r="K646" s="9">
        <f>IF(N646="","",N646/1000/24)</f>
        <v>2.3616666666666668E-6</v>
      </c>
      <c r="L646" s="6">
        <v>8.0499999999999999E-3</v>
      </c>
      <c r="M646" s="7">
        <v>5.4999999999999997E-3</v>
      </c>
      <c r="N646">
        <v>5.6680000000000001E-2</v>
      </c>
      <c r="P646" s="2" t="s">
        <v>44</v>
      </c>
    </row>
    <row r="647" spans="1:16">
      <c r="A647" s="1">
        <v>35380</v>
      </c>
      <c r="B647">
        <v>-76.505700000000004</v>
      </c>
      <c r="C647">
        <v>-177.96369999999999</v>
      </c>
      <c r="D647">
        <v>30</v>
      </c>
      <c r="H647" s="12">
        <f>IFERROR(LOG10(J647/I647),"")</f>
        <v>-2.8430237380849838E-2</v>
      </c>
      <c r="I647" s="11">
        <f>IF(L647="","",L647/1000/24)</f>
        <v>2.1041666666666665E-7</v>
      </c>
      <c r="J647" s="9">
        <f>IF(M647="","",M647/1000/24)</f>
        <v>1.9708333333333331E-7</v>
      </c>
      <c r="K647" s="9">
        <f>IF(N647="","",N647/1000/24)</f>
        <v>9.6166666666666664E-7</v>
      </c>
      <c r="L647" s="6">
        <v>5.0499999999999998E-3</v>
      </c>
      <c r="M647" s="7">
        <v>4.7299999999999998E-3</v>
      </c>
      <c r="N647">
        <v>2.308E-2</v>
      </c>
      <c r="P647" s="2" t="s">
        <v>44</v>
      </c>
    </row>
    <row r="648" spans="1:16">
      <c r="A648" s="1">
        <v>35380</v>
      </c>
      <c r="B648">
        <v>-76.505700000000004</v>
      </c>
      <c r="C648">
        <v>-177.96369999999999</v>
      </c>
      <c r="D648">
        <v>50</v>
      </c>
      <c r="H648" s="12">
        <f>IFERROR(LOG10(J648/I648),"")</f>
        <v>-0.88703620711386499</v>
      </c>
      <c r="I648" s="11">
        <f>IF(L648="","",L648/1000/24)</f>
        <v>7.9666666666666663E-7</v>
      </c>
      <c r="J648" s="9">
        <f>IF(M648="","",M648/1000/24)</f>
        <v>1.0333333333333333E-7</v>
      </c>
      <c r="K648" s="9">
        <f>IF(N648="","",N648/1000/24)</f>
        <v>2.2325000000000002E-6</v>
      </c>
      <c r="L648" s="6">
        <v>1.9120000000000002E-2</v>
      </c>
      <c r="M648" s="7">
        <v>2.48E-3</v>
      </c>
      <c r="N648">
        <v>5.3580000000000003E-2</v>
      </c>
      <c r="P648" s="2" t="s">
        <v>44</v>
      </c>
    </row>
    <row r="649" spans="1:16">
      <c r="A649" s="1">
        <v>35380</v>
      </c>
      <c r="B649">
        <v>-76.505700000000004</v>
      </c>
      <c r="C649">
        <v>-177.96369999999999</v>
      </c>
      <c r="D649">
        <v>64</v>
      </c>
      <c r="H649" s="12">
        <f>IFERROR(LOG10(J649/I649),"")</f>
        <v>-0.6843439812517319</v>
      </c>
      <c r="I649" s="11">
        <f>IF(L649="","",L649/1000/24)</f>
        <v>6.2041666666666662E-7</v>
      </c>
      <c r="J649" s="9">
        <f>IF(M649="","",M649/1000/24)</f>
        <v>1.2833333333333333E-7</v>
      </c>
      <c r="K649" s="9">
        <f>IF(N649="","",N649/1000/24)</f>
        <v>1.9391666666666666E-6</v>
      </c>
      <c r="L649" s="6">
        <v>1.489E-2</v>
      </c>
      <c r="M649" s="7">
        <v>3.0799999999999998E-3</v>
      </c>
      <c r="N649">
        <v>4.6539999999999998E-2</v>
      </c>
      <c r="P649" s="2" t="s">
        <v>44</v>
      </c>
    </row>
    <row r="650" spans="1:16">
      <c r="A650" s="1">
        <v>35380</v>
      </c>
      <c r="B650">
        <v>-76.505700000000004</v>
      </c>
      <c r="C650">
        <v>-177.96369999999999</v>
      </c>
      <c r="D650">
        <v>99</v>
      </c>
      <c r="H650" s="12">
        <f>IFERROR(LOG10(J650/I650),"")</f>
        <v>-0.33763481994365879</v>
      </c>
      <c r="I650" s="11">
        <f>IF(L650="","",L650/1000/24)</f>
        <v>1.8041666666666668E-7</v>
      </c>
      <c r="J650" s="9">
        <f>IF(M650="","",M650/1000/24)</f>
        <v>8.2916666666666671E-8</v>
      </c>
      <c r="K650" s="9">
        <f>IF(N650="","",N650/1000/24)</f>
        <v>6.5749999999999995E-7</v>
      </c>
      <c r="L650" s="6">
        <v>4.3299999999999996E-3</v>
      </c>
      <c r="M650" s="7">
        <v>1.99E-3</v>
      </c>
      <c r="N650">
        <v>1.5779999999999999E-2</v>
      </c>
      <c r="P650" s="2" t="s">
        <v>44</v>
      </c>
    </row>
    <row r="651" spans="1:16">
      <c r="A651" s="1">
        <v>35380</v>
      </c>
      <c r="B651">
        <v>-76.563000000000002</v>
      </c>
      <c r="C651">
        <v>-178.1628</v>
      </c>
      <c r="D651">
        <v>15</v>
      </c>
      <c r="H651" s="12" t="str">
        <f>IFERROR(LOG10(J651/I651),"")</f>
        <v/>
      </c>
      <c r="I651" s="11">
        <f>IF(L651="","",L651/1000/24)</f>
        <v>4.5416666666666666E-8</v>
      </c>
      <c r="J651" s="9" t="str">
        <f>IF(M651="","",M651/1000/24)</f>
        <v/>
      </c>
      <c r="K651" s="9">
        <f>IF(N651="","",N651/1000/24)</f>
        <v>2.6791666666666666E-7</v>
      </c>
      <c r="L651" s="6">
        <v>1.09E-3</v>
      </c>
      <c r="N651">
        <v>6.43E-3</v>
      </c>
      <c r="P651" s="2" t="s">
        <v>44</v>
      </c>
    </row>
    <row r="652" spans="1:16">
      <c r="A652" s="1">
        <v>35380</v>
      </c>
      <c r="B652">
        <v>-76.499499999999998</v>
      </c>
      <c r="C652">
        <v>175.99969999999999</v>
      </c>
      <c r="D652">
        <v>2</v>
      </c>
      <c r="H652" s="12">
        <f>IFERROR(LOG10(J652/I652),"")</f>
        <v>-1.2173929800337868</v>
      </c>
      <c r="I652" s="11">
        <f>IF(L652="","",L652/1000/24)</f>
        <v>1.2929166666666666E-5</v>
      </c>
      <c r="J652" s="9">
        <f>IF(M652="","",M652/1000/24)</f>
        <v>7.8375000000000001E-7</v>
      </c>
      <c r="K652" s="9">
        <f>IF(N652="","",N652/1000/24)</f>
        <v>1.8939166666666666E-5</v>
      </c>
      <c r="L652" s="6">
        <v>0.31030000000000002</v>
      </c>
      <c r="M652" s="7">
        <v>1.881E-2</v>
      </c>
      <c r="N652">
        <v>0.45454</v>
      </c>
      <c r="P652" s="2" t="s">
        <v>44</v>
      </c>
    </row>
    <row r="653" spans="1:16">
      <c r="A653" s="1">
        <v>35380</v>
      </c>
      <c r="B653">
        <v>-76.499499999999998</v>
      </c>
      <c r="C653">
        <v>175.99969999999999</v>
      </c>
      <c r="D653">
        <v>6</v>
      </c>
      <c r="H653" s="12">
        <f>IFERROR(LOG10(J653/I653),"")</f>
        <v>-1.2677307947586574</v>
      </c>
      <c r="I653" s="11">
        <f>IF(L653="","",L653/1000/24)</f>
        <v>1.7651666666666669E-5</v>
      </c>
      <c r="J653" s="9">
        <f>IF(M653="","",M653/1000/24)</f>
        <v>9.5291666666666683E-7</v>
      </c>
      <c r="K653" s="9">
        <f>IF(N653="","",N653/1000/24)</f>
        <v>3.1040416666666672E-5</v>
      </c>
      <c r="L653" s="6">
        <v>0.42364000000000002</v>
      </c>
      <c r="M653" s="7">
        <v>2.2870000000000001E-2</v>
      </c>
      <c r="N653">
        <v>0.74497000000000002</v>
      </c>
      <c r="P653" s="2" t="s">
        <v>44</v>
      </c>
    </row>
    <row r="654" spans="1:16">
      <c r="A654" s="1">
        <v>35380</v>
      </c>
      <c r="B654">
        <v>-76.499499999999998</v>
      </c>
      <c r="C654">
        <v>175.99969999999999</v>
      </c>
      <c r="D654">
        <v>12</v>
      </c>
      <c r="H654" s="12">
        <f>IFERROR(LOG10(J654/I654),"")</f>
        <v>-1.266305098260335</v>
      </c>
      <c r="I654" s="11">
        <f>IF(L654="","",L654/1000/24)</f>
        <v>1.7209166666666668E-5</v>
      </c>
      <c r="J654" s="9">
        <f>IF(M654="","",M654/1000/24)</f>
        <v>9.3208333333333334E-7</v>
      </c>
      <c r="K654" s="9">
        <f>IF(N654="","",N654/1000/24)</f>
        <v>2.9837916666666668E-5</v>
      </c>
      <c r="L654" s="6">
        <v>0.41302</v>
      </c>
      <c r="M654" s="7">
        <v>2.2370000000000001E-2</v>
      </c>
      <c r="N654">
        <v>0.71611000000000002</v>
      </c>
      <c r="P654" s="2" t="s">
        <v>44</v>
      </c>
    </row>
    <row r="655" spans="1:16">
      <c r="A655" s="1">
        <v>35380</v>
      </c>
      <c r="B655">
        <v>-76.499499999999998</v>
      </c>
      <c r="C655">
        <v>175.99969999999999</v>
      </c>
      <c r="D655">
        <v>20</v>
      </c>
      <c r="H655" s="12">
        <f>IFERROR(LOG10(J655/I655),"")</f>
        <v>-1.3832930985074487</v>
      </c>
      <c r="I655" s="11">
        <f>IF(L655="","",L655/1000/24)</f>
        <v>1.7382916666666666E-5</v>
      </c>
      <c r="J655" s="9">
        <f>IF(M655="","",M655/1000/24)</f>
        <v>7.1916666666666673E-7</v>
      </c>
      <c r="K655" s="9">
        <f>IF(N655="","",N655/1000/24)</f>
        <v>2.5833749999999996E-5</v>
      </c>
      <c r="L655" s="6">
        <v>0.41719000000000001</v>
      </c>
      <c r="M655" s="7">
        <v>1.7260000000000001E-2</v>
      </c>
      <c r="N655">
        <v>0.62000999999999995</v>
      </c>
      <c r="P655" s="2" t="s">
        <v>44</v>
      </c>
    </row>
    <row r="656" spans="1:16">
      <c r="A656" s="1">
        <v>35380</v>
      </c>
      <c r="B656">
        <v>-76.499499999999998</v>
      </c>
      <c r="C656">
        <v>175.99969999999999</v>
      </c>
      <c r="D656">
        <v>26</v>
      </c>
      <c r="H656" s="12">
        <f>IFERROR(LOG10(J656/I656),"")</f>
        <v>-1.2441374987199769</v>
      </c>
      <c r="I656" s="11">
        <f>IF(L656="","",L656/1000/24)</f>
        <v>1.5161250000000002E-5</v>
      </c>
      <c r="J656" s="9">
        <f>IF(M656="","",M656/1000/24)</f>
        <v>8.6416666666666672E-7</v>
      </c>
      <c r="K656" s="9">
        <f>IF(N656="","",N656/1000/24)</f>
        <v>2.3722083333333334E-5</v>
      </c>
      <c r="L656" s="6">
        <v>0.36387000000000003</v>
      </c>
      <c r="M656" s="7">
        <v>2.0740000000000001E-2</v>
      </c>
      <c r="N656">
        <v>0.56933</v>
      </c>
      <c r="P656" s="2" t="s">
        <v>44</v>
      </c>
    </row>
    <row r="657" spans="1:16">
      <c r="A657" s="1">
        <v>35380</v>
      </c>
      <c r="B657">
        <v>-76.499499999999998</v>
      </c>
      <c r="C657">
        <v>175.99969999999999</v>
      </c>
      <c r="D657">
        <v>40</v>
      </c>
      <c r="H657" s="12">
        <f>IFERROR(LOG10(J657/I657),"")</f>
        <v>-0.91965451668771825</v>
      </c>
      <c r="I657" s="11">
        <f>IF(L657="","",L657/1000/24)</f>
        <v>1.7591666666666666E-6</v>
      </c>
      <c r="J657" s="9">
        <f>IF(M657="","",M657/1000/24)</f>
        <v>2.116666666666667E-7</v>
      </c>
      <c r="K657" s="9">
        <f>IF(N657="","",N657/1000/24)</f>
        <v>3.6424999999999999E-6</v>
      </c>
      <c r="L657" s="6">
        <v>4.2220000000000001E-2</v>
      </c>
      <c r="M657" s="7">
        <v>5.0800000000000003E-3</v>
      </c>
      <c r="N657">
        <v>8.7419999999999998E-2</v>
      </c>
      <c r="P657" s="2" t="s">
        <v>44</v>
      </c>
    </row>
    <row r="658" spans="1:16">
      <c r="A658" s="1">
        <v>35380</v>
      </c>
      <c r="B658">
        <v>-76.530500000000004</v>
      </c>
      <c r="C658">
        <v>169.161</v>
      </c>
      <c r="D658">
        <v>2</v>
      </c>
      <c r="H658" s="12">
        <f>IFERROR(LOG10(J658/I658),"")</f>
        <v>-0.76854855550742707</v>
      </c>
      <c r="I658" s="11">
        <f>IF(L658="","",L658/1000/24)</f>
        <v>1.9195833333333331E-6</v>
      </c>
      <c r="J658" s="9">
        <f>IF(M658="","",M658/1000/24)</f>
        <v>3.2708333333333331E-7</v>
      </c>
      <c r="K658" s="9">
        <f>IF(N658="","",N658/1000/24)</f>
        <v>6.4133333333333326E-6</v>
      </c>
      <c r="L658" s="6">
        <v>4.607E-2</v>
      </c>
      <c r="M658" s="7">
        <v>7.8499999999999993E-3</v>
      </c>
      <c r="N658">
        <v>0.15392</v>
      </c>
      <c r="P658" s="2" t="s">
        <v>44</v>
      </c>
    </row>
    <row r="659" spans="1:16">
      <c r="A659" s="1">
        <v>35380</v>
      </c>
      <c r="B659">
        <v>-76.530500000000004</v>
      </c>
      <c r="C659">
        <v>169.161</v>
      </c>
      <c r="D659">
        <v>7</v>
      </c>
      <c r="H659" s="12">
        <f>IFERROR(LOG10(J659/I659),"")</f>
        <v>-0.84014346812494045</v>
      </c>
      <c r="I659" s="11">
        <f>IF(L659="","",L659/1000/24)</f>
        <v>2.3241666666666667E-6</v>
      </c>
      <c r="J659" s="9">
        <f>IF(M659="","",M659/1000/24)</f>
        <v>3.3583333333333328E-7</v>
      </c>
      <c r="K659" s="9">
        <f>IF(N659="","",N659/1000/24)</f>
        <v>1.5799166666666666E-5</v>
      </c>
      <c r="L659" s="6">
        <v>5.5780000000000003E-2</v>
      </c>
      <c r="M659" s="7">
        <v>8.0599999999999995E-3</v>
      </c>
      <c r="N659">
        <v>0.37918000000000002</v>
      </c>
      <c r="P659" s="2" t="s">
        <v>44</v>
      </c>
    </row>
    <row r="660" spans="1:16">
      <c r="A660" s="1">
        <v>35380</v>
      </c>
      <c r="B660">
        <v>-76.530500000000004</v>
      </c>
      <c r="C660">
        <v>169.161</v>
      </c>
      <c r="D660">
        <v>14</v>
      </c>
      <c r="H660" s="12">
        <f>IFERROR(LOG10(J660/I660),"")</f>
        <v>-0.97462889505918493</v>
      </c>
      <c r="I660" s="11">
        <f>IF(L660="","",L660/1000/24)</f>
        <v>2.8258333333333339E-6</v>
      </c>
      <c r="J660" s="9">
        <f>IF(M660="","",M660/1000/24)</f>
        <v>2.9958333333333336E-7</v>
      </c>
      <c r="K660" s="9">
        <f>IF(N660="","",N660/1000/24)</f>
        <v>2.0114166666666668E-5</v>
      </c>
      <c r="L660" s="6">
        <v>6.7820000000000005E-2</v>
      </c>
      <c r="M660" s="7">
        <v>7.1900000000000002E-3</v>
      </c>
      <c r="N660">
        <v>0.48274</v>
      </c>
      <c r="P660" s="2" t="s">
        <v>44</v>
      </c>
    </row>
    <row r="661" spans="1:16">
      <c r="A661" s="1">
        <v>35380</v>
      </c>
      <c r="B661">
        <v>-76.530500000000004</v>
      </c>
      <c r="C661">
        <v>169.161</v>
      </c>
      <c r="D661">
        <v>24</v>
      </c>
      <c r="H661" s="12">
        <f>IFERROR(LOG10(J661/I661),"")</f>
        <v>-0.87795496303829401</v>
      </c>
      <c r="I661" s="11">
        <f>IF(L661="","",L661/1000/24)</f>
        <v>2.2587500000000002E-6</v>
      </c>
      <c r="J661" s="9">
        <f>IF(M661="","",M661/1000/24)</f>
        <v>2.9916666666666668E-7</v>
      </c>
      <c r="K661" s="9">
        <f>IF(N661="","",N661/1000/24)</f>
        <v>1.4014166666666665E-5</v>
      </c>
      <c r="L661" s="6">
        <v>5.4210000000000001E-2</v>
      </c>
      <c r="M661" s="7">
        <v>7.1799999999999998E-3</v>
      </c>
      <c r="N661">
        <v>0.33633999999999997</v>
      </c>
      <c r="P661" s="2" t="s">
        <v>44</v>
      </c>
    </row>
    <row r="662" spans="1:16">
      <c r="A662" s="1">
        <v>35380</v>
      </c>
      <c r="B662">
        <v>-76.530500000000004</v>
      </c>
      <c r="C662">
        <v>169.161</v>
      </c>
      <c r="D662">
        <v>31</v>
      </c>
      <c r="H662" s="12">
        <f>IFERROR(LOG10(J662/I662),"")</f>
        <v>-0.17833074695451584</v>
      </c>
      <c r="I662" s="11">
        <f>IF(L662="","",L662/1000/24)</f>
        <v>2.4708333333333331E-6</v>
      </c>
      <c r="J662" s="9">
        <f>IF(M662="","",M662/1000/24)</f>
        <v>1.63875E-6</v>
      </c>
      <c r="K662" s="9">
        <f>IF(N662="","",N662/1000/24)</f>
        <v>1.1374166666666665E-5</v>
      </c>
      <c r="L662" s="6">
        <v>5.9299999999999999E-2</v>
      </c>
      <c r="M662" s="7">
        <v>3.9329999999999997E-2</v>
      </c>
      <c r="N662">
        <v>0.27298</v>
      </c>
      <c r="P662" s="2" t="s">
        <v>44</v>
      </c>
    </row>
    <row r="663" spans="1:16">
      <c r="A663" s="1">
        <v>35380</v>
      </c>
      <c r="B663">
        <v>-76.530500000000004</v>
      </c>
      <c r="C663">
        <v>169.161</v>
      </c>
      <c r="D663">
        <v>48</v>
      </c>
      <c r="H663" s="12">
        <f>IFERROR(LOG10(J663/I663),"")</f>
        <v>-0.72224435988250824</v>
      </c>
      <c r="I663" s="11">
        <f>IF(L663="","",L663/1000/24)</f>
        <v>1.6529166666666666E-6</v>
      </c>
      <c r="J663" s="9">
        <f>IF(M663="","",M663/1000/24)</f>
        <v>3.1333333333333333E-7</v>
      </c>
      <c r="K663" s="9">
        <f>IF(N663="","",N663/1000/24)</f>
        <v>6.844583333333333E-6</v>
      </c>
      <c r="L663" s="6">
        <v>3.9669999999999997E-2</v>
      </c>
      <c r="M663" s="7">
        <v>7.5199999999999998E-3</v>
      </c>
      <c r="N663">
        <v>0.16427</v>
      </c>
      <c r="P663" s="2" t="s">
        <v>44</v>
      </c>
    </row>
    <row r="664" spans="1:16">
      <c r="A664" s="1">
        <v>35380</v>
      </c>
      <c r="B664">
        <v>-76.497699999999995</v>
      </c>
      <c r="C664">
        <v>-178.0187</v>
      </c>
      <c r="D664">
        <v>3</v>
      </c>
      <c r="H664" s="12">
        <f>IFERROR(LOG10(J664/I664),"")</f>
        <v>-0.80765683991273185</v>
      </c>
      <c r="I664" s="11">
        <f>IF(L664="","",L664/1000/24)</f>
        <v>5.6458333333333326E-7</v>
      </c>
      <c r="J664" s="9">
        <f>IF(M664="","",M664/1000/24)</f>
        <v>8.791666666666665E-8</v>
      </c>
      <c r="K664" s="9">
        <f>IF(N664="","",N664/1000/24)</f>
        <v>1.0670833333333334E-6</v>
      </c>
      <c r="L664" s="6">
        <v>1.355E-2</v>
      </c>
      <c r="M664" s="7">
        <v>2.1099999999999999E-3</v>
      </c>
      <c r="N664">
        <v>2.5610000000000001E-2</v>
      </c>
      <c r="P664" s="2" t="s">
        <v>44</v>
      </c>
    </row>
    <row r="665" spans="1:16">
      <c r="A665" s="1">
        <v>35380</v>
      </c>
      <c r="B665">
        <v>-76.497699999999995</v>
      </c>
      <c r="C665">
        <v>-178.0187</v>
      </c>
      <c r="D665">
        <v>13</v>
      </c>
      <c r="H665" s="12">
        <f>IFERROR(LOG10(J665/I665),"")</f>
        <v>-0.55083469226006676</v>
      </c>
      <c r="I665" s="11">
        <f>IF(L665="","",L665/1000/24)</f>
        <v>5.524999999999999E-7</v>
      </c>
      <c r="J665" s="9">
        <f>IF(M665="","",M665/1000/24)</f>
        <v>1.5541666666666665E-7</v>
      </c>
      <c r="K665" s="9">
        <f>IF(N665="","",N665/1000/24)</f>
        <v>1.8704166666666666E-6</v>
      </c>
      <c r="L665" s="6">
        <v>1.3259999999999999E-2</v>
      </c>
      <c r="M665" s="7">
        <v>3.7299999999999998E-3</v>
      </c>
      <c r="N665">
        <v>4.4889999999999999E-2</v>
      </c>
      <c r="P665" s="2" t="s">
        <v>44</v>
      </c>
    </row>
    <row r="666" spans="1:16">
      <c r="A666" s="1">
        <v>35380</v>
      </c>
      <c r="B666">
        <v>-76.497699999999995</v>
      </c>
      <c r="C666">
        <v>-178.0187</v>
      </c>
      <c r="D666">
        <v>26</v>
      </c>
      <c r="H666" s="12">
        <f>IFERROR(LOG10(J666/I666),"")</f>
        <v>-0.40952188122185279</v>
      </c>
      <c r="I666" s="11">
        <f>IF(L666="","",L666/1000/24)</f>
        <v>3.9583333333333334E-7</v>
      </c>
      <c r="J666" s="9">
        <f>IF(M666="","",M666/1000/24)</f>
        <v>1.5416666666666666E-7</v>
      </c>
      <c r="K666" s="9">
        <f>IF(N666="","",N666/1000/24)</f>
        <v>2.2270833333333331E-6</v>
      </c>
      <c r="L666" s="6">
        <v>9.4999999999999998E-3</v>
      </c>
      <c r="M666" s="7">
        <v>3.7000000000000002E-3</v>
      </c>
      <c r="N666">
        <v>5.3449999999999998E-2</v>
      </c>
      <c r="P666" s="2" t="s">
        <v>44</v>
      </c>
    </row>
    <row r="667" spans="1:16">
      <c r="A667" s="1">
        <v>35380</v>
      </c>
      <c r="B667">
        <v>-76.497699999999995</v>
      </c>
      <c r="C667">
        <v>-178.0187</v>
      </c>
      <c r="D667">
        <v>44</v>
      </c>
      <c r="H667" s="12">
        <f>IFERROR(LOG10(J667/I667),"")</f>
        <v>-0.36912419542544139</v>
      </c>
      <c r="I667" s="11">
        <f>IF(L667="","",L667/1000/24)</f>
        <v>4.7374999999999996E-7</v>
      </c>
      <c r="J667" s="9">
        <f>IF(M667="","",M667/1000/24)</f>
        <v>2.0249999999999999E-7</v>
      </c>
      <c r="K667" s="9">
        <f>IF(N667="","",N667/1000/24)</f>
        <v>1.575E-6</v>
      </c>
      <c r="L667" s="6">
        <v>1.137E-2</v>
      </c>
      <c r="M667" s="7">
        <v>4.8599999999999997E-3</v>
      </c>
      <c r="N667">
        <v>3.78E-2</v>
      </c>
      <c r="P667" s="2" t="s">
        <v>44</v>
      </c>
    </row>
    <row r="668" spans="1:16">
      <c r="A668" s="1">
        <v>35380</v>
      </c>
      <c r="B668">
        <v>-76.497699999999995</v>
      </c>
      <c r="C668">
        <v>-178.0187</v>
      </c>
      <c r="D668">
        <v>57</v>
      </c>
      <c r="H668" s="12">
        <f>IFERROR(LOG10(J668/I668),"")</f>
        <v>-0.44447233348267373</v>
      </c>
      <c r="I668" s="11">
        <f>IF(L668="","",L668/1000/24)</f>
        <v>3.8958333333333334E-7</v>
      </c>
      <c r="J668" s="9">
        <f>IF(M668="","",M668/1000/24)</f>
        <v>1.4000000000000001E-7</v>
      </c>
      <c r="K668" s="9">
        <f>IF(N668="","",N668/1000/24)</f>
        <v>1.8991666666666668E-6</v>
      </c>
      <c r="L668" s="6">
        <v>9.3500000000000007E-3</v>
      </c>
      <c r="M668" s="7">
        <v>3.3600000000000001E-3</v>
      </c>
      <c r="N668">
        <v>4.5580000000000002E-2</v>
      </c>
      <c r="P668" s="2" t="s">
        <v>44</v>
      </c>
    </row>
    <row r="669" spans="1:16">
      <c r="A669" s="1">
        <v>35380</v>
      </c>
      <c r="B669">
        <v>-76.497699999999995</v>
      </c>
      <c r="C669">
        <v>-178.0187</v>
      </c>
      <c r="D669">
        <v>88</v>
      </c>
      <c r="H669" s="12">
        <f>IFERROR(LOG10(J669/I669),"")</f>
        <v>-0.64133931717278825</v>
      </c>
      <c r="I669" s="11">
        <f>IF(L669="","",L669/1000/24)</f>
        <v>1.8791666666666666E-7</v>
      </c>
      <c r="J669" s="9">
        <f>IF(M669="","",M669/1000/24)</f>
        <v>4.291666666666667E-8</v>
      </c>
      <c r="K669" s="9">
        <f>IF(N669="","",N669/1000/24)</f>
        <v>6.9541666666666675E-7</v>
      </c>
      <c r="L669" s="6">
        <v>4.5100000000000001E-3</v>
      </c>
      <c r="M669" s="7">
        <v>1.0300000000000001E-3</v>
      </c>
      <c r="N669">
        <v>1.669E-2</v>
      </c>
      <c r="P669" s="2" t="s">
        <v>44</v>
      </c>
    </row>
    <row r="670" spans="1:16">
      <c r="A670" s="1">
        <v>35380</v>
      </c>
      <c r="B670">
        <v>-76.501199999999997</v>
      </c>
      <c r="C670">
        <v>172.5942</v>
      </c>
      <c r="D670">
        <v>5</v>
      </c>
      <c r="H670" s="12" t="str">
        <f>IFERROR(LOG10(J670/I670),"")</f>
        <v/>
      </c>
      <c r="I670" s="11" t="str">
        <f>IF(L670="","",L670/1000/24)</f>
        <v/>
      </c>
      <c r="J670" s="9" t="str">
        <f>IF(M670="","",M670/1000/24)</f>
        <v/>
      </c>
      <c r="K670" s="9">
        <f>IF(N670="","",N670/1000/24)</f>
        <v>2.3833333333333335E-6</v>
      </c>
      <c r="N670">
        <v>5.7200000000000001E-2</v>
      </c>
      <c r="P670" s="2" t="s">
        <v>44</v>
      </c>
    </row>
    <row r="671" spans="1:16">
      <c r="A671" s="1">
        <v>35380</v>
      </c>
      <c r="B671">
        <v>-76.476200000000006</v>
      </c>
      <c r="C671">
        <v>176.0942</v>
      </c>
      <c r="D671">
        <v>5</v>
      </c>
      <c r="H671" s="12">
        <f>IFERROR(LOG10(J671/I671),"")</f>
        <v>-0.91297679241002727</v>
      </c>
      <c r="I671" s="11">
        <f>IF(L671="","",L671/1000/24)</f>
        <v>5.1833333333333328E-7</v>
      </c>
      <c r="J671" s="9">
        <f>IF(M671="","",M671/1000/24)</f>
        <v>6.3333333333333331E-8</v>
      </c>
      <c r="K671" s="9">
        <f>IF(N671="","",N671/1000/24)</f>
        <v>7.9875000000000008E-7</v>
      </c>
      <c r="L671" s="6">
        <v>1.244E-2</v>
      </c>
      <c r="M671" s="7">
        <v>1.5200000000000001E-3</v>
      </c>
      <c r="N671">
        <v>1.917E-2</v>
      </c>
      <c r="P671" s="2" t="s">
        <v>44</v>
      </c>
    </row>
    <row r="672" spans="1:16">
      <c r="A672" s="1">
        <v>35380</v>
      </c>
      <c r="B672">
        <v>-73.972399999999993</v>
      </c>
      <c r="C672">
        <v>175.89500000000001</v>
      </c>
      <c r="D672">
        <v>49</v>
      </c>
      <c r="H672" s="12">
        <f>IFERROR(LOG10(J672/I672),"")</f>
        <v>-0.72945932648391909</v>
      </c>
      <c r="I672" s="11">
        <f>IF(L672="","",L672/1000/24)</f>
        <v>1.2291666666666667E-7</v>
      </c>
      <c r="J672" s="9">
        <f>IF(M672="","",M672/1000/24)</f>
        <v>2.2916666666666667E-8</v>
      </c>
      <c r="K672" s="9">
        <f>IF(N672="","",N672/1000/24)</f>
        <v>1.4958333333333334E-7</v>
      </c>
      <c r="L672" s="6">
        <v>2.9499999999999999E-3</v>
      </c>
      <c r="M672" s="7">
        <v>5.5000000000000003E-4</v>
      </c>
      <c r="N672">
        <v>3.5899999999999999E-3</v>
      </c>
      <c r="P672" s="2" t="s">
        <v>44</v>
      </c>
    </row>
    <row r="673" spans="1:16">
      <c r="A673" s="1">
        <v>35380</v>
      </c>
      <c r="B673">
        <v>-73.972399999999993</v>
      </c>
      <c r="C673">
        <v>175.89500000000001</v>
      </c>
      <c r="D673">
        <v>64</v>
      </c>
      <c r="H673" s="12">
        <f>IFERROR(LOG10(J673/I673),"")</f>
        <v>-1.5493536408119595</v>
      </c>
      <c r="I673" s="11">
        <f>IF(L673="","",L673/1000/24)</f>
        <v>2.0666666666666666E-7</v>
      </c>
      <c r="J673" s="9">
        <f>IF(M673="","",M673/1000/24)</f>
        <v>5.8333333333333326E-9</v>
      </c>
      <c r="K673" s="9">
        <f>IF(N673="","",N673/1000/24)</f>
        <v>1.3416666666666667E-7</v>
      </c>
      <c r="L673" s="6">
        <v>4.96E-3</v>
      </c>
      <c r="M673" s="7">
        <v>1.3999999999999999E-4</v>
      </c>
      <c r="N673">
        <v>3.2200000000000002E-3</v>
      </c>
      <c r="P673" s="2" t="s">
        <v>44</v>
      </c>
    </row>
    <row r="674" spans="1:16">
      <c r="A674" s="1">
        <v>35380</v>
      </c>
      <c r="B674">
        <v>-73.972399999999993</v>
      </c>
      <c r="C674">
        <v>175.89500000000001</v>
      </c>
      <c r="D674">
        <v>99</v>
      </c>
      <c r="H674" s="12">
        <f>IFERROR(LOG10(J674/I674),"")</f>
        <v>-1.4933584535903481</v>
      </c>
      <c r="I674" s="11">
        <f>IF(L674="","",L674/1000/24)</f>
        <v>9.0833333333333333E-8</v>
      </c>
      <c r="J674" s="9">
        <f>IF(M674="","",M674/1000/24)</f>
        <v>2.9166666666666663E-9</v>
      </c>
      <c r="K674" s="9">
        <f>IF(N674="","",N674/1000/24)</f>
        <v>1.6791666666666664E-7</v>
      </c>
      <c r="L674" s="6">
        <v>2.1800000000000001E-3</v>
      </c>
      <c r="M674" s="7">
        <v>6.9999999999999994E-5</v>
      </c>
      <c r="N674">
        <v>4.0299999999999997E-3</v>
      </c>
      <c r="P674" s="2" t="s">
        <v>44</v>
      </c>
    </row>
    <row r="675" spans="1:16">
      <c r="A675" s="1">
        <v>35380</v>
      </c>
      <c r="B675">
        <v>-73.962900000000005</v>
      </c>
      <c r="C675">
        <v>175.78870000000001</v>
      </c>
      <c r="D675">
        <v>3</v>
      </c>
      <c r="H675" s="12">
        <f>IFERROR(LOG10(J675/I675),"")</f>
        <v>-1.568201724066995</v>
      </c>
      <c r="I675" s="11">
        <f>IF(L675="","",L675/1000/24)</f>
        <v>7.7083333333333332E-8</v>
      </c>
      <c r="J675" s="9">
        <f>IF(M675="","",M675/1000/24)</f>
        <v>2.0833333333333334E-9</v>
      </c>
      <c r="K675" s="9">
        <f>IF(N675="","",N675/1000/24)</f>
        <v>6.1249999999999996E-8</v>
      </c>
      <c r="L675" s="6">
        <v>1.8500000000000001E-3</v>
      </c>
      <c r="M675" s="7">
        <v>5.0000000000000002E-5</v>
      </c>
      <c r="N675">
        <v>1.47E-3</v>
      </c>
      <c r="P675" s="2" t="s">
        <v>44</v>
      </c>
    </row>
    <row r="676" spans="1:16">
      <c r="A676" s="1">
        <v>35380</v>
      </c>
      <c r="B676">
        <v>-73.962900000000005</v>
      </c>
      <c r="C676">
        <v>175.78870000000001</v>
      </c>
      <c r="D676">
        <v>15</v>
      </c>
      <c r="H676" s="12">
        <f>IFERROR(LOG10(J676/I676),"")</f>
        <v>-1.1595671932336202</v>
      </c>
      <c r="I676" s="11">
        <f>IF(L676="","",L676/1000/24)</f>
        <v>1.5041666666666665E-7</v>
      </c>
      <c r="J676" s="9">
        <f>IF(M676="","",M676/1000/24)</f>
        <v>1.0416666666666666E-8</v>
      </c>
      <c r="K676" s="9">
        <f>IF(N676="","",N676/1000/24)</f>
        <v>1.7375E-7</v>
      </c>
      <c r="L676" s="6">
        <v>3.6099999999999999E-3</v>
      </c>
      <c r="M676" s="7">
        <v>2.5000000000000001E-4</v>
      </c>
      <c r="N676">
        <v>4.1700000000000001E-3</v>
      </c>
      <c r="P676" s="2" t="s">
        <v>44</v>
      </c>
    </row>
    <row r="677" spans="1:16">
      <c r="A677" s="1">
        <v>35380</v>
      </c>
      <c r="B677">
        <v>-73.962900000000005</v>
      </c>
      <c r="C677">
        <v>175.78870000000001</v>
      </c>
      <c r="D677">
        <v>30</v>
      </c>
      <c r="H677" s="12">
        <f>IFERROR(LOG10(J677/I677),"")</f>
        <v>-1.0448624331635377</v>
      </c>
      <c r="I677" s="11">
        <f>IF(L677="","",L677/1000/24)</f>
        <v>1.5708333333333332E-7</v>
      </c>
      <c r="J677" s="9">
        <f>IF(M677="","",M677/1000/24)</f>
        <v>1.4166666666666668E-8</v>
      </c>
      <c r="K677" s="9">
        <f>IF(N677="","",N677/1000/24)</f>
        <v>1.2666666666666666E-7</v>
      </c>
      <c r="L677" s="6">
        <v>3.7699999999999999E-3</v>
      </c>
      <c r="M677" s="7">
        <v>3.4000000000000002E-4</v>
      </c>
      <c r="N677">
        <v>3.0400000000000002E-3</v>
      </c>
      <c r="P677" s="2" t="s">
        <v>44</v>
      </c>
    </row>
    <row r="678" spans="1:16">
      <c r="A678" s="1">
        <v>35380</v>
      </c>
      <c r="B678">
        <v>-76.413399999999996</v>
      </c>
      <c r="C678">
        <v>-177.95869999999999</v>
      </c>
      <c r="D678">
        <v>3</v>
      </c>
      <c r="H678" s="12">
        <f>IFERROR(LOG10(J678/I678),"")</f>
        <v>2.7521073651262912E-2</v>
      </c>
      <c r="I678" s="11">
        <f>IF(L678="","",L678/1000/24)</f>
        <v>4.4583333333333332E-8</v>
      </c>
      <c r="J678" s="9">
        <f>IF(M678="","",M678/1000/24)</f>
        <v>4.7499999999999995E-8</v>
      </c>
      <c r="K678" s="9">
        <f>IF(N678="","",N678/1000/24)</f>
        <v>4.5833333333333332E-7</v>
      </c>
      <c r="L678" s="6">
        <v>1.07E-3</v>
      </c>
      <c r="M678" s="7">
        <v>1.14E-3</v>
      </c>
      <c r="N678">
        <v>1.0999999999999999E-2</v>
      </c>
      <c r="P678" s="2" t="s">
        <v>44</v>
      </c>
    </row>
    <row r="679" spans="1:16">
      <c r="A679" s="1">
        <v>35380</v>
      </c>
      <c r="B679">
        <v>-76.413399999999996</v>
      </c>
      <c r="C679">
        <v>-177.95869999999999</v>
      </c>
      <c r="D679">
        <v>15</v>
      </c>
      <c r="H679" s="12">
        <f>IFERROR(LOG10(J679/I679),"")</f>
        <v>-0.9872689231950782</v>
      </c>
      <c r="I679" s="11">
        <f>IF(L679="","",L679/1000/24)</f>
        <v>1.8208333333333332E-7</v>
      </c>
      <c r="J679" s="9">
        <f>IF(M679="","",M679/1000/24)</f>
        <v>1.8749999999999999E-8</v>
      </c>
      <c r="K679" s="9">
        <f>IF(N679="","",N679/1000/24)</f>
        <v>4.6083333333333335E-7</v>
      </c>
      <c r="L679" s="6">
        <v>4.3699999999999998E-3</v>
      </c>
      <c r="M679" s="7">
        <v>4.4999999999999999E-4</v>
      </c>
      <c r="N679">
        <v>1.106E-2</v>
      </c>
      <c r="P679" s="2" t="s">
        <v>44</v>
      </c>
    </row>
    <row r="680" spans="1:16">
      <c r="A680" s="1">
        <v>35380</v>
      </c>
      <c r="B680">
        <v>-76.413399999999996</v>
      </c>
      <c r="C680">
        <v>-177.95869999999999</v>
      </c>
      <c r="D680">
        <v>30</v>
      </c>
      <c r="H680" s="12">
        <f>IFERROR(LOG10(J680/I680),"")</f>
        <v>-1.3567738528496813</v>
      </c>
      <c r="I680" s="11">
        <f>IF(L680="","",L680/1000/24)</f>
        <v>4.3583333333333333E-7</v>
      </c>
      <c r="J680" s="9">
        <f>IF(M680="","",M680/1000/24)</f>
        <v>1.9166666666666666E-8</v>
      </c>
      <c r="K680" s="9">
        <f>IF(N680="","",N680/1000/24)</f>
        <v>1.3791666666666666E-7</v>
      </c>
      <c r="L680" s="6">
        <v>1.0460000000000001E-2</v>
      </c>
      <c r="M680" s="7">
        <v>4.6000000000000001E-4</v>
      </c>
      <c r="N680">
        <v>3.31E-3</v>
      </c>
      <c r="P680" s="2" t="s">
        <v>44</v>
      </c>
    </row>
    <row r="681" spans="1:16">
      <c r="A681" s="1">
        <v>35380</v>
      </c>
      <c r="B681">
        <v>-76.413399999999996</v>
      </c>
      <c r="C681">
        <v>-177.95869999999999</v>
      </c>
      <c r="D681">
        <v>49</v>
      </c>
      <c r="H681" s="12">
        <f>IFERROR(LOG10(J681/I681),"")</f>
        <v>-1.8829512232506107</v>
      </c>
      <c r="I681" s="11">
        <f>IF(L681="","",L681/1000/24)</f>
        <v>2.5458333333333331E-7</v>
      </c>
      <c r="J681" s="9">
        <f>IF(M681="","",M681/1000/24)</f>
        <v>3.3333333333333334E-9</v>
      </c>
      <c r="K681" s="9">
        <f>IF(N681="","",N681/1000/24)</f>
        <v>1.5624999999999999E-7</v>
      </c>
      <c r="L681" s="6">
        <v>6.11E-3</v>
      </c>
      <c r="M681" s="7">
        <v>8.0000000000000007E-5</v>
      </c>
      <c r="N681">
        <v>3.7499999999999999E-3</v>
      </c>
      <c r="P681" s="2" t="s">
        <v>44</v>
      </c>
    </row>
    <row r="682" spans="1:16">
      <c r="A682" s="1">
        <v>35380</v>
      </c>
      <c r="B682">
        <v>-76.413399999999996</v>
      </c>
      <c r="C682">
        <v>-177.95869999999999</v>
      </c>
      <c r="D682">
        <v>64</v>
      </c>
      <c r="H682" s="12">
        <f>IFERROR(LOG10(J682/I682),"")</f>
        <v>-2.0374264979406238</v>
      </c>
      <c r="I682" s="11">
        <f>IF(L682="","",L682/1000/24)</f>
        <v>4.5416666666666666E-8</v>
      </c>
      <c r="J682" s="9">
        <f>IF(M682="","",M682/1000/24)</f>
        <v>4.1666666666666668E-10</v>
      </c>
      <c r="K682" s="9">
        <f>IF(N682="","",N682/1000/24)</f>
        <v>2.2999999999999999E-7</v>
      </c>
      <c r="L682" s="6">
        <v>1.09E-3</v>
      </c>
      <c r="M682" s="7">
        <v>1.0000000000000001E-5</v>
      </c>
      <c r="N682">
        <v>5.5199999999999997E-3</v>
      </c>
      <c r="P682" s="2" t="s">
        <v>44</v>
      </c>
    </row>
    <row r="683" spans="1:16">
      <c r="A683" s="1">
        <v>35380</v>
      </c>
      <c r="B683">
        <v>-76.413399999999996</v>
      </c>
      <c r="C683">
        <v>-177.95869999999999</v>
      </c>
      <c r="D683">
        <v>99</v>
      </c>
      <c r="H683" s="12">
        <f>IFERROR(LOG10(J683/I683),"")</f>
        <v>-0.79111622754801125</v>
      </c>
      <c r="I683" s="11">
        <f>IF(L683="","",L683/1000/24)</f>
        <v>5.6666666666666671E-8</v>
      </c>
      <c r="J683" s="9">
        <f>IF(M683="","",M683/1000/24)</f>
        <v>9.1666666666666677E-9</v>
      </c>
      <c r="K683" s="9">
        <f>IF(N683="","",N683/1000/24)</f>
        <v>1.3333333333333334E-8</v>
      </c>
      <c r="L683" s="6">
        <v>1.3600000000000001E-3</v>
      </c>
      <c r="M683" s="7">
        <v>2.2000000000000001E-4</v>
      </c>
      <c r="N683">
        <v>3.2000000000000003E-4</v>
      </c>
      <c r="P683" s="2" t="s">
        <v>44</v>
      </c>
    </row>
    <row r="684" spans="1:16">
      <c r="A684" s="1">
        <v>35380</v>
      </c>
      <c r="B684">
        <v>-76.4649</v>
      </c>
      <c r="C684">
        <v>169.0574</v>
      </c>
      <c r="D684">
        <v>3</v>
      </c>
      <c r="H684" s="12">
        <f>IFERROR(LOG10(J684/I684),"")</f>
        <v>-1.3243173397896109</v>
      </c>
      <c r="I684" s="11">
        <f>IF(L684="","",L684/1000/24)</f>
        <v>2.075E-6</v>
      </c>
      <c r="J684" s="9">
        <f>IF(M684="","",M684/1000/24)</f>
        <v>9.833333333333334E-8</v>
      </c>
      <c r="K684" s="9">
        <f>IF(N684="","",N684/1000/24)</f>
        <v>1.2791666666666665E-7</v>
      </c>
      <c r="L684" s="6">
        <v>4.9799999999999997E-2</v>
      </c>
      <c r="M684" s="7">
        <v>2.3600000000000001E-3</v>
      </c>
      <c r="N684">
        <v>3.0699999999999998E-3</v>
      </c>
      <c r="P684" s="2" t="s">
        <v>44</v>
      </c>
    </row>
    <row r="685" spans="1:16">
      <c r="A685" s="1">
        <v>35380</v>
      </c>
      <c r="B685">
        <v>-76.4649</v>
      </c>
      <c r="C685">
        <v>169.0574</v>
      </c>
      <c r="D685">
        <v>15</v>
      </c>
      <c r="H685" s="12">
        <f>IFERROR(LOG10(J685/I685),"")</f>
        <v>-1.0011500144315171</v>
      </c>
      <c r="I685" s="11">
        <f>IF(L685="","",L685/1000/24)</f>
        <v>1.1029166666666666E-6</v>
      </c>
      <c r="J685" s="9">
        <f>IF(M685="","",M685/1000/24)</f>
        <v>1.1000000000000001E-7</v>
      </c>
      <c r="K685" s="9">
        <f>IF(N685="","",N685/1000/24)</f>
        <v>9.0999999999999986E-7</v>
      </c>
      <c r="L685" s="6">
        <v>2.647E-2</v>
      </c>
      <c r="M685" s="7">
        <v>2.64E-3</v>
      </c>
      <c r="N685">
        <v>2.1839999999999998E-2</v>
      </c>
      <c r="P685" s="2" t="s">
        <v>44</v>
      </c>
    </row>
    <row r="686" spans="1:16">
      <c r="A686" s="1">
        <v>35380</v>
      </c>
      <c r="B686">
        <v>-76.4649</v>
      </c>
      <c r="C686">
        <v>169.0574</v>
      </c>
      <c r="D686">
        <v>30</v>
      </c>
      <c r="H686" s="12">
        <f>IFERROR(LOG10(J686/I686),"")</f>
        <v>-0.9289705059719211</v>
      </c>
      <c r="I686" s="11">
        <f>IF(L686="","",L686/1000/24)</f>
        <v>1.2100000000000001E-6</v>
      </c>
      <c r="J686" s="9">
        <f>IF(M686="","",M686/1000/24)</f>
        <v>1.4249999999999999E-7</v>
      </c>
      <c r="K686" s="9">
        <f>IF(N686="","",N686/1000/24)</f>
        <v>8.6624999999999996E-7</v>
      </c>
      <c r="L686" s="6">
        <v>2.904E-2</v>
      </c>
      <c r="M686" s="7">
        <v>3.4199999999999999E-3</v>
      </c>
      <c r="N686">
        <v>2.0789999999999999E-2</v>
      </c>
      <c r="P686" s="2" t="s">
        <v>44</v>
      </c>
    </row>
    <row r="687" spans="1:16">
      <c r="A687" s="1">
        <v>35380</v>
      </c>
      <c r="B687">
        <v>-76.4649</v>
      </c>
      <c r="C687">
        <v>169.0574</v>
      </c>
      <c r="D687">
        <v>49</v>
      </c>
      <c r="H687" s="12">
        <f>IFERROR(LOG10(J687/I687),"")</f>
        <v>-0.61753898119651096</v>
      </c>
      <c r="I687" s="11">
        <f>IF(L687="","",L687/1000/24)</f>
        <v>1.1899999999999998E-6</v>
      </c>
      <c r="J687" s="9">
        <f>IF(M687="","",M687/1000/24)</f>
        <v>2.8708333333333332E-7</v>
      </c>
      <c r="K687" s="9">
        <f>IF(N687="","",N687/1000/24)</f>
        <v>5.5541666666666661E-7</v>
      </c>
      <c r="L687" s="6">
        <v>2.8559999999999999E-2</v>
      </c>
      <c r="M687" s="7">
        <v>6.8900000000000003E-3</v>
      </c>
      <c r="N687">
        <v>1.333E-2</v>
      </c>
      <c r="P687" s="2" t="s">
        <v>44</v>
      </c>
    </row>
    <row r="688" spans="1:16">
      <c r="A688" s="1">
        <v>35380</v>
      </c>
      <c r="B688">
        <v>-76.4649</v>
      </c>
      <c r="C688">
        <v>169.0574</v>
      </c>
      <c r="D688">
        <v>64</v>
      </c>
      <c r="H688" s="12">
        <f>IFERROR(LOG10(J688/I688),"")</f>
        <v>-1.3873070326139711</v>
      </c>
      <c r="I688" s="11">
        <f>IF(L688="","",L688/1000/24)</f>
        <v>2.1854166666666666E-6</v>
      </c>
      <c r="J688" s="9">
        <f>IF(M688="","",M688/1000/24)</f>
        <v>8.9583333333333345E-8</v>
      </c>
      <c r="K688" s="9">
        <f>IF(N688="","",N688/1000/24)</f>
        <v>1.4791666666666667E-7</v>
      </c>
      <c r="L688" s="6">
        <v>5.2449999999999997E-2</v>
      </c>
      <c r="M688" s="7">
        <v>2.15E-3</v>
      </c>
      <c r="N688">
        <v>3.5500000000000002E-3</v>
      </c>
      <c r="P688" s="2" t="s">
        <v>44</v>
      </c>
    </row>
    <row r="689" spans="1:16">
      <c r="A689" s="1">
        <v>36717</v>
      </c>
      <c r="B689">
        <v>-76.4649</v>
      </c>
      <c r="C689">
        <v>169.0574</v>
      </c>
      <c r="D689">
        <v>100</v>
      </c>
      <c r="H689" s="12">
        <f>IFERROR(LOG10(J689/I689),"")</f>
        <v>-1.6963058335290491</v>
      </c>
      <c r="I689" s="11">
        <f>IF(L689="","",L689/1000/24)</f>
        <v>2.5054166666666669E-6</v>
      </c>
      <c r="J689" s="9">
        <f>IF(M689="","",M689/1000/24)</f>
        <v>5.0416666666666658E-8</v>
      </c>
      <c r="K689" s="9">
        <f>IF(N689="","",N689/1000/24)</f>
        <v>1.1424999999999999E-6</v>
      </c>
      <c r="L689" s="6">
        <v>6.0130000000000003E-2</v>
      </c>
      <c r="M689" s="7">
        <v>1.2099999999999999E-3</v>
      </c>
      <c r="N689">
        <v>2.742E-2</v>
      </c>
      <c r="P689" s="2" t="s">
        <v>44</v>
      </c>
    </row>
    <row r="690" spans="1:16">
      <c r="A690" s="1">
        <v>42454</v>
      </c>
      <c r="B690">
        <v>-28.31</v>
      </c>
      <c r="C690">
        <v>95</v>
      </c>
      <c r="D690">
        <v>20</v>
      </c>
      <c r="E690">
        <v>1.37E-2</v>
      </c>
      <c r="F690">
        <v>2.8999999999999998E-3</v>
      </c>
      <c r="G690">
        <v>2.5999999999999999E-3</v>
      </c>
      <c r="H690" s="12">
        <f>IFERROR(LOG10(J690/I690),"")</f>
        <v>-0.68247018029189777</v>
      </c>
      <c r="I690" s="11">
        <f>IF(L690="","",L690/1000)</f>
        <v>1.9109999999999999E-3</v>
      </c>
      <c r="J690" s="11">
        <f>IF(M690="","",M690/1000)</f>
        <v>3.97E-4</v>
      </c>
      <c r="K690" s="11">
        <f>IF(N690="","",N690/1000)</f>
        <v>3.5999999999999997E-4</v>
      </c>
      <c r="L690">
        <v>1.911</v>
      </c>
      <c r="M690">
        <v>0.39700000000000002</v>
      </c>
      <c r="N690">
        <v>0.36</v>
      </c>
      <c r="P690" s="2" t="s">
        <v>51</v>
      </c>
    </row>
    <row r="691" spans="1:16">
      <c r="A691" s="1">
        <v>42454</v>
      </c>
      <c r="B691">
        <v>-26.52</v>
      </c>
      <c r="C691">
        <v>95</v>
      </c>
      <c r="D691">
        <v>20</v>
      </c>
      <c r="E691">
        <v>1.0500000000000001E-2</v>
      </c>
      <c r="F691">
        <v>4.1999999999999997E-3</v>
      </c>
      <c r="G691">
        <v>3.0999999999999999E-3</v>
      </c>
      <c r="H691" s="12">
        <f>IFERROR(LOG10(J691/I691),"")</f>
        <v>-0.40086145539611429</v>
      </c>
      <c r="I691" s="11">
        <f>IF(L691="","",L691/1000)</f>
        <v>1.4170000000000001E-3</v>
      </c>
      <c r="J691" s="11">
        <f>IF(M691="","",M691/1000)</f>
        <v>5.6299999999999992E-4</v>
      </c>
      <c r="K691" s="11">
        <f>IF(N691="","",N691/1000)</f>
        <v>4.1799999999999997E-4</v>
      </c>
      <c r="L691">
        <v>1.417</v>
      </c>
      <c r="M691">
        <v>0.56299999999999994</v>
      </c>
      <c r="N691">
        <v>0.41799999999999998</v>
      </c>
      <c r="P691" s="2" t="s">
        <v>51</v>
      </c>
    </row>
    <row r="692" spans="1:16">
      <c r="A692" s="1">
        <v>42455</v>
      </c>
      <c r="B692">
        <v>-24.73</v>
      </c>
      <c r="C692">
        <v>95</v>
      </c>
      <c r="D692">
        <v>20</v>
      </c>
      <c r="E692">
        <v>1.0699999999999999E-2</v>
      </c>
      <c r="F692">
        <v>8.0999999999999996E-3</v>
      </c>
      <c r="G692">
        <v>2.3999999999999998E-3</v>
      </c>
      <c r="H692" s="12">
        <f>IFERROR(LOG10(J692/I692),"")</f>
        <v>-0.12199435596151863</v>
      </c>
      <c r="I692" s="11">
        <f>IF(L692="","",L692/1000)</f>
        <v>1.176E-3</v>
      </c>
      <c r="J692" s="11">
        <f>IF(M692="","",M692/1000)</f>
        <v>8.8800000000000001E-4</v>
      </c>
      <c r="K692" s="11">
        <f>IF(N692="","",N692/1000)</f>
        <v>2.6900000000000003E-4</v>
      </c>
      <c r="L692">
        <v>1.1759999999999999</v>
      </c>
      <c r="M692">
        <v>0.88800000000000001</v>
      </c>
      <c r="N692">
        <v>0.26900000000000002</v>
      </c>
      <c r="P692" s="2" t="s">
        <v>51</v>
      </c>
    </row>
    <row r="693" spans="1:16">
      <c r="A693" s="1">
        <v>42458</v>
      </c>
      <c r="B693">
        <v>-20.76</v>
      </c>
      <c r="C693">
        <v>95</v>
      </c>
      <c r="D693">
        <v>20</v>
      </c>
      <c r="E693">
        <v>1.2E-2</v>
      </c>
      <c r="F693">
        <v>8.3000000000000001E-3</v>
      </c>
      <c r="G693">
        <v>3.5000000000000001E-3</v>
      </c>
      <c r="H693" s="12">
        <f>IFERROR(LOG10(J693/I693),"")</f>
        <v>-0.16229323888106664</v>
      </c>
      <c r="I693" s="11">
        <f>IF(L693="","",L693/1000)</f>
        <v>2.091E-3</v>
      </c>
      <c r="J693" s="11">
        <f>IF(M693="","",M693/1000)</f>
        <v>1.439E-3</v>
      </c>
      <c r="K693" s="11">
        <f>IF(N693="","",N693/1000)</f>
        <v>6.11E-4</v>
      </c>
      <c r="L693">
        <v>2.0910000000000002</v>
      </c>
      <c r="M693">
        <v>1.4390000000000001</v>
      </c>
      <c r="N693">
        <v>0.61099999999999999</v>
      </c>
      <c r="P693" s="2" t="s">
        <v>51</v>
      </c>
    </row>
    <row r="694" spans="1:16">
      <c r="A694" s="1">
        <v>42459</v>
      </c>
      <c r="B694">
        <v>-17.399999999999999</v>
      </c>
      <c r="C694">
        <v>95</v>
      </c>
      <c r="D694">
        <v>20</v>
      </c>
      <c r="E694">
        <v>1.37E-2</v>
      </c>
      <c r="F694">
        <v>7.1999999999999998E-3</v>
      </c>
      <c r="G694">
        <v>1E-4</v>
      </c>
      <c r="H694" s="12">
        <f>IFERROR(LOG10(J694/I694),"")</f>
        <v>-0.27822170317427458</v>
      </c>
      <c r="I694" s="11">
        <f>IF(L694="","",L694/1000)</f>
        <v>2.4480000000000001E-3</v>
      </c>
      <c r="J694" s="11">
        <f>IF(M694="","",M694/1000)</f>
        <v>1.2900000000000001E-3</v>
      </c>
      <c r="K694" s="11">
        <f>IF(N694="","",N694/1000)</f>
        <v>8.1499999999999997E-4</v>
      </c>
      <c r="L694">
        <v>2.448</v>
      </c>
      <c r="M694">
        <v>1.29</v>
      </c>
      <c r="N694">
        <v>0.81499999999999995</v>
      </c>
      <c r="P694" s="2" t="s">
        <v>51</v>
      </c>
    </row>
    <row r="695" spans="1:16">
      <c r="A695" s="1">
        <v>42461</v>
      </c>
      <c r="B695">
        <v>-13.57</v>
      </c>
      <c r="C695">
        <v>95</v>
      </c>
      <c r="D695">
        <v>20</v>
      </c>
      <c r="E695">
        <v>1.6500000000000001E-2</v>
      </c>
      <c r="F695">
        <v>2.4199999999999999E-2</v>
      </c>
      <c r="G695">
        <v>1.1999999999999999E-3</v>
      </c>
      <c r="H695" s="12">
        <f>IFERROR(LOG10(J695/I695),"")</f>
        <v>0.16592426019096984</v>
      </c>
      <c r="I695" s="11">
        <f>IF(L695="","",L695/1000)</f>
        <v>3.8319999999999999E-3</v>
      </c>
      <c r="J695" s="11">
        <f>IF(M695="","",M695/1000)</f>
        <v>5.6150000000000002E-3</v>
      </c>
      <c r="K695" s="11">
        <f>IF(N695="","",N695/1000)</f>
        <v>1.194E-3</v>
      </c>
      <c r="L695">
        <v>3.8319999999999999</v>
      </c>
      <c r="M695">
        <v>5.6150000000000002</v>
      </c>
      <c r="N695">
        <v>1.194</v>
      </c>
      <c r="P695" s="2" t="s">
        <v>51</v>
      </c>
    </row>
    <row r="696" spans="1:16">
      <c r="A696" s="1">
        <v>42463</v>
      </c>
      <c r="B696">
        <v>-11.42</v>
      </c>
      <c r="C696">
        <v>95</v>
      </c>
      <c r="D696">
        <v>20</v>
      </c>
      <c r="E696">
        <v>1.9900000000000001E-2</v>
      </c>
      <c r="F696">
        <v>0.01</v>
      </c>
      <c r="G696">
        <v>1E-4</v>
      </c>
      <c r="H696" s="12">
        <f>IFERROR(LOG10(J696/I696),"")</f>
        <v>-0.29906840930340783</v>
      </c>
      <c r="I696" s="11">
        <f>IF(L696="","",L696/1000)</f>
        <v>4.4180000000000001E-3</v>
      </c>
      <c r="J696" s="11">
        <f>IF(M696="","",M696/1000)</f>
        <v>2.2190000000000001E-3</v>
      </c>
      <c r="K696" s="11">
        <f>IF(N696="","",N696/1000)</f>
        <v>1.0740000000000001E-3</v>
      </c>
      <c r="L696">
        <v>4.4180000000000001</v>
      </c>
      <c r="M696">
        <v>2.2189999999999999</v>
      </c>
      <c r="N696">
        <v>1.0740000000000001</v>
      </c>
      <c r="P696" s="2" t="s">
        <v>51</v>
      </c>
    </row>
    <row r="697" spans="1:16">
      <c r="A697" s="1">
        <v>42463</v>
      </c>
      <c r="B697">
        <v>-10.35</v>
      </c>
      <c r="C697">
        <v>95</v>
      </c>
      <c r="D697">
        <v>25</v>
      </c>
      <c r="E697">
        <v>2.0799999999999999E-2</v>
      </c>
      <c r="F697">
        <v>1.2200000000000001E-2</v>
      </c>
      <c r="G697">
        <v>1.4E-3</v>
      </c>
      <c r="H697" s="12">
        <f>IFERROR(LOG10(J697/I697),"")</f>
        <v>-0.2334191932136345</v>
      </c>
      <c r="I697" s="11">
        <f>IF(L697="","",L697/1000)</f>
        <v>5.1349999999999998E-3</v>
      </c>
      <c r="J697" s="11">
        <f>IF(M697="","",M697/1000)</f>
        <v>3.0000000000000001E-3</v>
      </c>
      <c r="K697" s="11">
        <f>IF(N697="","",N697/1000)</f>
        <v>9.4899999999999997E-4</v>
      </c>
      <c r="L697">
        <v>5.1349999999999998</v>
      </c>
      <c r="M697">
        <v>3</v>
      </c>
      <c r="N697">
        <v>0.94899999999999995</v>
      </c>
      <c r="P697" s="2" t="s">
        <v>51</v>
      </c>
    </row>
    <row r="698" spans="1:16">
      <c r="A698" s="1">
        <v>42465</v>
      </c>
      <c r="B698">
        <v>-8.2200000000000006</v>
      </c>
      <c r="C698">
        <v>95</v>
      </c>
      <c r="D698">
        <v>20</v>
      </c>
      <c r="E698">
        <v>1.52E-2</v>
      </c>
      <c r="F698">
        <v>1.0200000000000001E-2</v>
      </c>
      <c r="G698">
        <v>8.9999999999999998E-4</v>
      </c>
      <c r="H698" s="12">
        <f>IFERROR(LOG10(J698/I698),"")</f>
        <v>-0.17059486306957602</v>
      </c>
      <c r="I698" s="11">
        <f>IF(L698="","",L698/1000)</f>
        <v>3.8079999999999998E-3</v>
      </c>
      <c r="J698" s="11">
        <f>IF(M698="","",M698/1000)</f>
        <v>2.5710000000000004E-3</v>
      </c>
      <c r="K698" s="11">
        <f>IF(N698="","",N698/1000)</f>
        <v>1.08E-3</v>
      </c>
      <c r="L698">
        <v>3.8079999999999998</v>
      </c>
      <c r="M698">
        <v>2.5710000000000002</v>
      </c>
      <c r="N698">
        <v>1.08</v>
      </c>
      <c r="P698" s="2" t="s">
        <v>51</v>
      </c>
    </row>
    <row r="699" spans="1:16">
      <c r="A699" s="1">
        <v>42465</v>
      </c>
      <c r="B699">
        <v>-6.6</v>
      </c>
      <c r="C699">
        <v>95</v>
      </c>
      <c r="D699">
        <v>20</v>
      </c>
      <c r="E699">
        <v>2.3400000000000001E-2</v>
      </c>
      <c r="F699">
        <v>1.3100000000000001E-2</v>
      </c>
      <c r="G699">
        <v>1.9E-3</v>
      </c>
      <c r="H699" s="12">
        <f>IFERROR(LOG10(J699/I699),"")</f>
        <v>-0.25269384376432918</v>
      </c>
      <c r="I699" s="11">
        <f>IF(L699="","",L699/1000)</f>
        <v>5.8099999999999992E-3</v>
      </c>
      <c r="J699" s="11">
        <f>IF(M699="","",M699/1000)</f>
        <v>3.2469999999999999E-3</v>
      </c>
      <c r="K699" s="11">
        <f>IF(N699="","",N699/1000)</f>
        <v>1.7549999999999998E-3</v>
      </c>
      <c r="L699">
        <v>5.81</v>
      </c>
      <c r="M699">
        <v>3.2469999999999999</v>
      </c>
      <c r="N699">
        <v>1.7549999999999999</v>
      </c>
      <c r="P699" s="2" t="s">
        <v>51</v>
      </c>
    </row>
    <row r="700" spans="1:16">
      <c r="A700" s="1">
        <v>42467</v>
      </c>
      <c r="B700">
        <v>-4.53</v>
      </c>
      <c r="C700">
        <v>94.87</v>
      </c>
      <c r="D700">
        <v>20</v>
      </c>
      <c r="E700">
        <v>2.41E-2</v>
      </c>
      <c r="F700">
        <v>4.3700000000000003E-2</v>
      </c>
      <c r="G700">
        <v>5.0000000000000001E-4</v>
      </c>
      <c r="H700" s="12">
        <f>IFERROR(LOG10(J700/I700),"")</f>
        <v>0.25836307052015517</v>
      </c>
      <c r="I700" s="11">
        <f>IF(L700="","",L700/1000)</f>
        <v>6.6900000000000006E-3</v>
      </c>
      <c r="J700" s="11">
        <f>IF(M700="","",M700/1000)</f>
        <v>1.2128E-2</v>
      </c>
      <c r="K700" s="11">
        <f>IF(N700="","",N700/1000)</f>
        <v>1.9479999999999999E-3</v>
      </c>
      <c r="L700">
        <v>6.69</v>
      </c>
      <c r="M700">
        <v>12.128</v>
      </c>
      <c r="N700">
        <v>1.948</v>
      </c>
      <c r="P700" s="2" t="s">
        <v>51</v>
      </c>
    </row>
    <row r="701" spans="1:16">
      <c r="A701" s="1">
        <v>42468</v>
      </c>
      <c r="B701">
        <v>-3.13</v>
      </c>
      <c r="C701">
        <v>94.43</v>
      </c>
      <c r="D701">
        <v>20</v>
      </c>
      <c r="E701">
        <v>2.5399999999999999E-2</v>
      </c>
      <c r="F701">
        <v>4.36E-2</v>
      </c>
      <c r="G701">
        <v>2.0000000000000001E-4</v>
      </c>
      <c r="H701" s="12">
        <f>IFERROR(LOG10(J701/I701),"")</f>
        <v>0.2352872873712934</v>
      </c>
      <c r="I701" s="11">
        <f>IF(L701="","",L701/1000)</f>
        <v>5.8230000000000001E-3</v>
      </c>
      <c r="J701" s="11">
        <f>IF(M701="","",M701/1000)</f>
        <v>1.001E-2</v>
      </c>
      <c r="K701" s="11">
        <f>IF(N701="","",N701/1000)</f>
        <v>1.673E-3</v>
      </c>
      <c r="L701">
        <v>5.8230000000000004</v>
      </c>
      <c r="M701">
        <v>10.01</v>
      </c>
      <c r="N701">
        <v>1.673</v>
      </c>
      <c r="P701" s="2" t="s">
        <v>51</v>
      </c>
    </row>
    <row r="702" spans="1:16">
      <c r="A702" s="1">
        <v>42468</v>
      </c>
      <c r="B702">
        <v>-2.2000000000000002</v>
      </c>
      <c r="C702">
        <v>94.13</v>
      </c>
      <c r="D702">
        <v>20</v>
      </c>
      <c r="E702">
        <v>2.9700000000000001E-2</v>
      </c>
      <c r="F702">
        <v>4.2700000000000002E-2</v>
      </c>
      <c r="G702">
        <v>2.9999999999999997E-4</v>
      </c>
      <c r="H702" s="12">
        <f>IFERROR(LOG10(J702/I702),"")</f>
        <v>0.15777221258722926</v>
      </c>
      <c r="I702" s="11">
        <f>IF(L702="","",L702/1000)</f>
        <v>8.3850000000000001E-3</v>
      </c>
      <c r="J702" s="11">
        <f>IF(M702="","",M702/1000)</f>
        <v>1.2057999999999999E-2</v>
      </c>
      <c r="K702" s="11">
        <f>IF(N702="","",N702/1000)</f>
        <v>2.4190000000000001E-3</v>
      </c>
      <c r="L702">
        <v>8.3849999999999998</v>
      </c>
      <c r="M702">
        <v>12.058</v>
      </c>
      <c r="N702">
        <v>2.419</v>
      </c>
      <c r="P702" s="2" t="s">
        <v>51</v>
      </c>
    </row>
    <row r="703" spans="1:16">
      <c r="A703" s="1">
        <v>42471</v>
      </c>
      <c r="B703">
        <v>0.55000000000000004</v>
      </c>
      <c r="C703">
        <v>93.02</v>
      </c>
      <c r="D703">
        <v>20</v>
      </c>
      <c r="E703">
        <v>1.9699999999999999E-2</v>
      </c>
      <c r="F703">
        <v>4.41E-2</v>
      </c>
      <c r="G703">
        <v>1.1000000000000001E-3</v>
      </c>
      <c r="H703" s="12">
        <f>IFERROR(LOG10(J703/I703),"")</f>
        <v>0.34994816231657766</v>
      </c>
      <c r="I703" s="11">
        <f>IF(L703="","",L703/1000)</f>
        <v>8.098000000000001E-3</v>
      </c>
      <c r="J703" s="11">
        <f>IF(M703="","",M703/1000)</f>
        <v>1.8126999999999997E-2</v>
      </c>
      <c r="K703" s="11">
        <f>IF(N703="","",N703/1000)</f>
        <v>2.385E-3</v>
      </c>
      <c r="L703">
        <v>8.0980000000000008</v>
      </c>
      <c r="M703">
        <v>18.126999999999999</v>
      </c>
      <c r="N703">
        <v>2.3849999999999998</v>
      </c>
      <c r="P703" s="2" t="s">
        <v>51</v>
      </c>
    </row>
    <row r="704" spans="1:16">
      <c r="A704" s="1">
        <v>42471</v>
      </c>
      <c r="B704">
        <v>1.45</v>
      </c>
      <c r="C704">
        <v>92.3</v>
      </c>
      <c r="D704">
        <v>20</v>
      </c>
      <c r="E704">
        <v>2.53E-2</v>
      </c>
      <c r="F704">
        <v>2.47E-2</v>
      </c>
      <c r="G704">
        <v>1.9E-3</v>
      </c>
      <c r="H704" s="12">
        <f>IFERROR(LOG10(J704/I704),"")</f>
        <v>-1.1367187996492016E-2</v>
      </c>
      <c r="I704" s="11">
        <f>IF(L704="","",L704/1000)</f>
        <v>9.019000000000001E-3</v>
      </c>
      <c r="J704" s="11">
        <f>IF(M704="","",M704/1000)</f>
        <v>8.7860000000000004E-3</v>
      </c>
      <c r="K704" s="11">
        <f>IF(N704="","",N704/1000)</f>
        <v>3.1649999999999998E-3</v>
      </c>
      <c r="L704">
        <v>9.0190000000000001</v>
      </c>
      <c r="M704">
        <v>8.7859999999999996</v>
      </c>
      <c r="N704">
        <v>3.165</v>
      </c>
      <c r="P704" s="2" t="s">
        <v>51</v>
      </c>
    </row>
    <row r="705" spans="1:16">
      <c r="A705" s="1">
        <v>42472</v>
      </c>
      <c r="B705">
        <v>3</v>
      </c>
      <c r="C705">
        <v>91.76</v>
      </c>
      <c r="D705">
        <v>20</v>
      </c>
      <c r="E705">
        <v>2.01E-2</v>
      </c>
      <c r="F705">
        <v>2.8500000000000001E-2</v>
      </c>
      <c r="G705">
        <v>1.1999999999999999E-3</v>
      </c>
      <c r="H705" s="12">
        <f>IFERROR(LOG10(J705/I705),"")</f>
        <v>0.15104671654597782</v>
      </c>
      <c r="I705" s="11">
        <f>IF(L705="","",L705/1000)</f>
        <v>7.8639999999999995E-3</v>
      </c>
      <c r="J705" s="11">
        <f>IF(M705="","",M705/1000)</f>
        <v>1.1134999999999999E-2</v>
      </c>
      <c r="K705" s="11">
        <f>IF(N705="","",N705/1000)</f>
        <v>2.7530000000000002E-3</v>
      </c>
      <c r="L705">
        <v>7.8639999999999999</v>
      </c>
      <c r="M705">
        <v>11.135</v>
      </c>
      <c r="N705">
        <v>2.7530000000000001</v>
      </c>
      <c r="P705" s="2" t="s">
        <v>51</v>
      </c>
    </row>
    <row r="706" spans="1:16">
      <c r="A706" s="1">
        <v>42473</v>
      </c>
      <c r="B706">
        <v>4.6500000000000004</v>
      </c>
      <c r="C706">
        <v>90.76</v>
      </c>
      <c r="D706">
        <v>20</v>
      </c>
      <c r="E706">
        <v>1.78E-2</v>
      </c>
      <c r="F706">
        <v>3.0099999999999998E-2</v>
      </c>
      <c r="G706">
        <v>2.9999999999999997E-4</v>
      </c>
      <c r="H706" s="12">
        <f>IFERROR(LOG10(J706/I706),"")</f>
        <v>0.40130828135340235</v>
      </c>
      <c r="I706" s="11">
        <f>IF(L706="","",L706/1000)</f>
        <v>6.5759999999999994E-3</v>
      </c>
      <c r="J706" s="11">
        <f>IF(M706="","",M706/1000)</f>
        <v>1.6568000000000003E-2</v>
      </c>
      <c r="K706" s="11">
        <f>IF(N706="","",N706/1000)</f>
        <v>2.882E-3</v>
      </c>
      <c r="L706">
        <v>6.5759999999999996</v>
      </c>
      <c r="M706">
        <v>16.568000000000001</v>
      </c>
      <c r="N706">
        <v>2.8820000000000001</v>
      </c>
      <c r="P706" s="2" t="s">
        <v>51</v>
      </c>
    </row>
    <row r="707" spans="1:16">
      <c r="A707" s="1">
        <v>42475</v>
      </c>
      <c r="B707">
        <v>6.5</v>
      </c>
      <c r="C707">
        <v>89.34</v>
      </c>
      <c r="D707">
        <v>20</v>
      </c>
      <c r="E707">
        <v>2.5399999999999999E-2</v>
      </c>
      <c r="F707">
        <v>6.0699999999999997E-2</v>
      </c>
      <c r="G707">
        <v>4.0000000000000002E-4</v>
      </c>
      <c r="H707" s="12">
        <f>IFERROR(LOG10(J707/I707),"")</f>
        <v>0.3784977899946555</v>
      </c>
      <c r="I707" s="11">
        <f>IF(L707="","",L707/1000)</f>
        <v>8.9309999999999997E-3</v>
      </c>
      <c r="J707" s="11">
        <f>IF(M707="","",M707/1000)</f>
        <v>2.1350000000000001E-2</v>
      </c>
      <c r="K707" s="11">
        <f>IF(N707="","",N707/1000)</f>
        <v>3.3509999999999998E-3</v>
      </c>
      <c r="L707">
        <v>8.9309999999999992</v>
      </c>
      <c r="M707">
        <v>21.35</v>
      </c>
      <c r="N707">
        <v>3.351</v>
      </c>
      <c r="P707" s="2" t="s">
        <v>51</v>
      </c>
    </row>
    <row r="708" spans="1:16">
      <c r="A708" s="1">
        <v>42476</v>
      </c>
      <c r="B708">
        <v>7.98</v>
      </c>
      <c r="C708">
        <v>88.2</v>
      </c>
      <c r="D708">
        <v>20</v>
      </c>
      <c r="E708">
        <v>1.7899999999999999E-2</v>
      </c>
      <c r="F708">
        <v>3.3099999999999997E-2</v>
      </c>
      <c r="G708">
        <v>1E-4</v>
      </c>
      <c r="H708" s="12">
        <f>IFERROR(LOG10(J708/I708),"")</f>
        <v>0.26601635940403645</v>
      </c>
      <c r="I708" s="11">
        <f>IF(L708="","",L708/1000)</f>
        <v>5.829E-3</v>
      </c>
      <c r="J708" s="11">
        <f>IF(M708="","",M708/1000)</f>
        <v>1.0755000000000001E-2</v>
      </c>
      <c r="K708" s="11">
        <f>IF(N708="","",N708/1000)</f>
        <v>3.1150000000000001E-3</v>
      </c>
      <c r="L708">
        <v>5.8289999999999997</v>
      </c>
      <c r="M708">
        <v>10.755000000000001</v>
      </c>
      <c r="N708">
        <v>3.1150000000000002</v>
      </c>
      <c r="P708" s="2" t="s">
        <v>51</v>
      </c>
    </row>
    <row r="709" spans="1:16">
      <c r="A709" s="1">
        <v>42476</v>
      </c>
      <c r="B709">
        <v>9.4600000000000009</v>
      </c>
      <c r="C709">
        <v>87.07</v>
      </c>
      <c r="D709">
        <v>20</v>
      </c>
      <c r="E709">
        <v>2.4500000000000001E-2</v>
      </c>
      <c r="F709">
        <v>4.1700000000000001E-2</v>
      </c>
      <c r="G709">
        <v>2.9999999999999997E-4</v>
      </c>
      <c r="H709" s="12">
        <f>IFERROR(LOG10(J709/I709),"")</f>
        <v>0.23182538113907036</v>
      </c>
      <c r="I709" s="11">
        <f>IF(L709="","",L709/1000)</f>
        <v>7.0229999999999997E-3</v>
      </c>
      <c r="J709" s="11">
        <f>IF(M709="","",M709/1000)</f>
        <v>1.1977E-2</v>
      </c>
      <c r="K709" s="11">
        <f>IF(N709="","",N709/1000)</f>
        <v>1.3849999999999999E-3</v>
      </c>
      <c r="L709">
        <v>7.0229999999999997</v>
      </c>
      <c r="M709">
        <v>11.977</v>
      </c>
      <c r="N709">
        <v>1.385</v>
      </c>
      <c r="P709" s="2" t="s">
        <v>51</v>
      </c>
    </row>
    <row r="710" spans="1:16">
      <c r="A710" s="1">
        <v>42480</v>
      </c>
      <c r="B710">
        <v>10.77</v>
      </c>
      <c r="C710">
        <v>87.34</v>
      </c>
      <c r="D710">
        <v>20</v>
      </c>
      <c r="E710">
        <v>1.72E-2</v>
      </c>
      <c r="F710">
        <v>3.4799999999999998E-2</v>
      </c>
      <c r="G710">
        <v>5.0000000000000001E-4</v>
      </c>
      <c r="H710" s="12">
        <f>IFERROR(LOG10(J710/I710),"")</f>
        <v>0.30588948719729947</v>
      </c>
      <c r="I710" s="11">
        <f>IF(L710="","",L710/1000)</f>
        <v>4.4880000000000007E-3</v>
      </c>
      <c r="J710" s="11">
        <f>IF(M710="","",M710/1000)</f>
        <v>9.077E-3</v>
      </c>
      <c r="K710" s="11">
        <f>IF(N710="","",N710/1000)</f>
        <v>1.2470000000000001E-3</v>
      </c>
      <c r="L710">
        <v>4.4880000000000004</v>
      </c>
      <c r="M710">
        <v>9.077</v>
      </c>
      <c r="N710">
        <v>1.2470000000000001</v>
      </c>
      <c r="P710" s="2" t="s">
        <v>51</v>
      </c>
    </row>
    <row r="711" spans="1:16">
      <c r="A711" s="1">
        <v>42481</v>
      </c>
      <c r="B711">
        <v>12.66</v>
      </c>
      <c r="C711">
        <v>88.46</v>
      </c>
      <c r="D711">
        <v>20</v>
      </c>
      <c r="E711">
        <v>1.9599999999999999E-2</v>
      </c>
      <c r="F711">
        <v>4.8300000000000003E-2</v>
      </c>
      <c r="G711">
        <v>8.9999999999999998E-4</v>
      </c>
      <c r="H711" s="12">
        <f>IFERROR(LOG10(J711/I711),"")</f>
        <v>0.39087304086578001</v>
      </c>
      <c r="I711" s="11">
        <f>IF(L711="","",L711/1000)</f>
        <v>5.2910000000000006E-3</v>
      </c>
      <c r="J711" s="11">
        <f>IF(M711="","",M711/1000)</f>
        <v>1.3014E-2</v>
      </c>
      <c r="K711" s="11">
        <f>IF(N711="","",N711/1000)</f>
        <v>1.4990000000000001E-3</v>
      </c>
      <c r="L711">
        <v>5.2910000000000004</v>
      </c>
      <c r="M711">
        <v>13.013999999999999</v>
      </c>
      <c r="N711">
        <v>1.4990000000000001</v>
      </c>
      <c r="P711" s="2" t="s">
        <v>51</v>
      </c>
    </row>
    <row r="712" spans="1:16">
      <c r="A712" s="1">
        <v>42482</v>
      </c>
      <c r="B712">
        <v>14.55</v>
      </c>
      <c r="C712">
        <v>89.59</v>
      </c>
      <c r="D712">
        <v>20</v>
      </c>
      <c r="E712">
        <v>1.9400000000000001E-2</v>
      </c>
      <c r="F712">
        <v>6.1800000000000001E-2</v>
      </c>
      <c r="G712">
        <v>2.9999999999999997E-4</v>
      </c>
      <c r="H712" s="12">
        <f>IFERROR(LOG10(J712/I712),"")</f>
        <v>0.50393359741814747</v>
      </c>
      <c r="I712" s="11">
        <f>IF(L712="","",L712/1000)</f>
        <v>5.2290000000000001E-3</v>
      </c>
      <c r="J712" s="11">
        <f>IF(M712="","",M712/1000)</f>
        <v>1.6685999999999999E-2</v>
      </c>
      <c r="K712" s="11">
        <f>IF(N712="","",N712/1000)</f>
        <v>1.89E-3</v>
      </c>
      <c r="L712">
        <v>5.2290000000000001</v>
      </c>
      <c r="M712">
        <v>16.686</v>
      </c>
      <c r="N712">
        <v>1.89</v>
      </c>
      <c r="P712" s="2" t="s">
        <v>51</v>
      </c>
    </row>
    <row r="713" spans="1:16">
      <c r="A713" s="1">
        <v>42484</v>
      </c>
      <c r="B713">
        <v>17</v>
      </c>
      <c r="C713">
        <v>89.85</v>
      </c>
      <c r="D713">
        <v>20</v>
      </c>
      <c r="E713">
        <v>2.01E-2</v>
      </c>
      <c r="F713">
        <v>6.5199999999999994E-2</v>
      </c>
      <c r="G713">
        <v>2.2000000000000001E-3</v>
      </c>
      <c r="H713" s="12">
        <f>IFERROR(LOG10(J713/I713),"")</f>
        <v>0.51196949804690961</v>
      </c>
      <c r="I713" s="11">
        <f>IF(L713="","",L713/1000)</f>
        <v>5.8170000000000001E-3</v>
      </c>
      <c r="J713" s="11">
        <f>IF(M713="","",M713/1000)</f>
        <v>1.8908999999999999E-2</v>
      </c>
      <c r="K713" s="11">
        <f>IF(N713="","",N713/1000)</f>
        <v>1.042E-3</v>
      </c>
      <c r="L713">
        <v>5.8170000000000002</v>
      </c>
      <c r="M713">
        <v>18.908999999999999</v>
      </c>
      <c r="N713">
        <v>1.042</v>
      </c>
      <c r="P713" s="2" t="s">
        <v>51</v>
      </c>
    </row>
    <row r="714" spans="1:16">
      <c r="H714" s="12" t="str">
        <f>IFERROR(LOG10(J714/I714),"")</f>
        <v/>
      </c>
      <c r="I714" s="18"/>
      <c r="L714"/>
      <c r="M714" s="18"/>
      <c r="N714" s="18"/>
    </row>
    <row r="715" spans="1:16">
      <c r="A715" s="1">
        <v>36280</v>
      </c>
      <c r="B715">
        <v>-31.301369863013601</v>
      </c>
      <c r="C715">
        <v>43.956262425447299</v>
      </c>
      <c r="D715">
        <v>0</v>
      </c>
      <c r="H715" s="12">
        <f t="shared" ref="H715:H749" si="0">IFERROR(LOG10(J715/I715),"")</f>
        <v>-0.6494846412561005</v>
      </c>
      <c r="I715" s="18">
        <f>L715/24</f>
        <v>2.4166666666666666E-2</v>
      </c>
      <c r="J715" s="18">
        <f>M715/24</f>
        <v>5.4166666666666669E-3</v>
      </c>
      <c r="K715" s="18"/>
      <c r="L715">
        <v>0.57999999999999996</v>
      </c>
      <c r="M715" s="18">
        <v>0.13</v>
      </c>
      <c r="N715" s="18"/>
      <c r="P715" t="s">
        <v>376</v>
      </c>
    </row>
    <row r="716" spans="1:16">
      <c r="A716" s="1">
        <v>36281</v>
      </c>
      <c r="B716">
        <v>-31.301369863013601</v>
      </c>
      <c r="C716">
        <v>43.956262425447299</v>
      </c>
      <c r="D716">
        <v>15</v>
      </c>
      <c r="H716" s="12">
        <f t="shared" si="0"/>
        <v>-0.56427143043856265</v>
      </c>
      <c r="I716" s="18">
        <f t="shared" ref="I716:J749" si="1">L716/24</f>
        <v>9.1666666666666667E-3</v>
      </c>
      <c r="J716" s="18">
        <f t="shared" si="1"/>
        <v>2.5000000000000001E-3</v>
      </c>
      <c r="K716" s="18"/>
      <c r="L716">
        <v>0.22</v>
      </c>
      <c r="M716" s="18">
        <v>0.06</v>
      </c>
      <c r="N716" s="18"/>
      <c r="P716" t="s">
        <v>376</v>
      </c>
    </row>
    <row r="717" spans="1:16">
      <c r="A717" s="1">
        <v>36282</v>
      </c>
      <c r="B717">
        <v>-31.301369863013601</v>
      </c>
      <c r="C717">
        <v>43.956262425447299</v>
      </c>
      <c r="D717">
        <v>26</v>
      </c>
      <c r="H717" s="12">
        <f t="shared" si="0"/>
        <v>-0.58357658563394921</v>
      </c>
      <c r="I717" s="18">
        <f t="shared" si="1"/>
        <v>9.5833333333333343E-3</v>
      </c>
      <c r="J717" s="18">
        <f t="shared" si="1"/>
        <v>2.5000000000000001E-3</v>
      </c>
      <c r="K717" s="18"/>
      <c r="L717">
        <v>0.23</v>
      </c>
      <c r="M717" s="18">
        <v>0.06</v>
      </c>
      <c r="N717" s="18"/>
      <c r="P717" t="s">
        <v>376</v>
      </c>
    </row>
    <row r="718" spans="1:16">
      <c r="A718" s="1">
        <v>36283</v>
      </c>
      <c r="B718">
        <v>-31.301369863013601</v>
      </c>
      <c r="C718">
        <v>43.956262425447299</v>
      </c>
      <c r="D718">
        <v>50</v>
      </c>
      <c r="H718" s="12">
        <f t="shared" si="0"/>
        <v>-0.66275783168157409</v>
      </c>
      <c r="I718" s="18">
        <f t="shared" si="1"/>
        <v>9.5833333333333343E-3</v>
      </c>
      <c r="J718" s="18">
        <f t="shared" si="1"/>
        <v>2.0833333333333333E-3</v>
      </c>
      <c r="K718" s="18"/>
      <c r="L718">
        <v>0.23</v>
      </c>
      <c r="M718" s="18">
        <v>0.05</v>
      </c>
      <c r="N718" s="18"/>
      <c r="P718" t="s">
        <v>376</v>
      </c>
    </row>
    <row r="719" spans="1:16">
      <c r="A719" s="1">
        <v>36284</v>
      </c>
      <c r="B719">
        <v>-31.301369863013601</v>
      </c>
      <c r="C719">
        <v>43.956262425447299</v>
      </c>
      <c r="D719">
        <v>99</v>
      </c>
      <c r="H719" s="12">
        <f t="shared" si="0"/>
        <v>-0.22184874961635639</v>
      </c>
      <c r="I719" s="18">
        <f t="shared" si="1"/>
        <v>4.1666666666666666E-3</v>
      </c>
      <c r="J719" s="18">
        <f t="shared" si="1"/>
        <v>2.5000000000000001E-3</v>
      </c>
      <c r="K719" s="18"/>
      <c r="L719">
        <v>0.1</v>
      </c>
      <c r="M719" s="18">
        <v>0.06</v>
      </c>
      <c r="N719" s="18"/>
      <c r="P719" t="s">
        <v>376</v>
      </c>
    </row>
    <row r="720" spans="1:16">
      <c r="A720" s="1">
        <v>36285</v>
      </c>
      <c r="B720">
        <v>-36.835616438356098</v>
      </c>
      <c r="C720">
        <v>43.956262425447299</v>
      </c>
      <c r="D720">
        <v>0</v>
      </c>
      <c r="H720" s="12">
        <f t="shared" si="0"/>
        <v>0.43831917065871046</v>
      </c>
      <c r="I720" s="18">
        <f t="shared" si="1"/>
        <v>1.6250000000000001E-2</v>
      </c>
      <c r="J720" s="18">
        <f t="shared" si="1"/>
        <v>4.4583333333333336E-2</v>
      </c>
      <c r="K720" s="18"/>
      <c r="L720">
        <v>0.39</v>
      </c>
      <c r="M720" s="18">
        <v>1.07</v>
      </c>
      <c r="N720" s="18"/>
      <c r="P720" t="s">
        <v>376</v>
      </c>
    </row>
    <row r="721" spans="1:16">
      <c r="A721" s="1">
        <v>36286</v>
      </c>
      <c r="B721">
        <v>-36.835616438356098</v>
      </c>
      <c r="C721">
        <v>43.956262425447299</v>
      </c>
      <c r="D721">
        <v>9</v>
      </c>
      <c r="H721" s="12">
        <f t="shared" si="0"/>
        <v>0.1249387366083</v>
      </c>
      <c r="I721" s="18">
        <f t="shared" si="1"/>
        <v>3.7499999999999999E-3</v>
      </c>
      <c r="J721" s="18">
        <f t="shared" si="1"/>
        <v>5.0000000000000001E-3</v>
      </c>
      <c r="K721" s="18"/>
      <c r="L721">
        <v>0.09</v>
      </c>
      <c r="M721" s="18">
        <v>0.12</v>
      </c>
      <c r="N721" s="18"/>
      <c r="P721" t="s">
        <v>376</v>
      </c>
    </row>
    <row r="722" spans="1:16">
      <c r="A722" s="1">
        <v>36287</v>
      </c>
      <c r="B722">
        <v>-36.835616438356098</v>
      </c>
      <c r="C722">
        <v>43.956262425447299</v>
      </c>
      <c r="D722">
        <v>15</v>
      </c>
      <c r="H722" s="12">
        <f t="shared" si="0"/>
        <v>0.55630250076728727</v>
      </c>
      <c r="I722" s="18">
        <f t="shared" si="1"/>
        <v>2.0833333333333333E-3</v>
      </c>
      <c r="J722" s="18">
        <f t="shared" si="1"/>
        <v>7.4999999999999997E-3</v>
      </c>
      <c r="K722" s="18"/>
      <c r="L722">
        <v>0.05</v>
      </c>
      <c r="M722" s="18">
        <v>0.18</v>
      </c>
      <c r="N722" s="18"/>
      <c r="P722" t="s">
        <v>376</v>
      </c>
    </row>
    <row r="723" spans="1:16">
      <c r="A723" s="1">
        <v>36288</v>
      </c>
      <c r="B723">
        <v>-36.835616438356098</v>
      </c>
      <c r="C723">
        <v>43.956262425447299</v>
      </c>
      <c r="D723">
        <v>29</v>
      </c>
      <c r="H723" s="12">
        <f t="shared" si="0"/>
        <v>0.87506126339169998</v>
      </c>
      <c r="I723" s="18">
        <f t="shared" si="1"/>
        <v>8.3333333333333339E-4</v>
      </c>
      <c r="J723" s="18">
        <f t="shared" si="1"/>
        <v>6.2499999999999995E-3</v>
      </c>
      <c r="K723" s="18"/>
      <c r="L723">
        <v>0.02</v>
      </c>
      <c r="M723" s="18">
        <v>0.15</v>
      </c>
      <c r="N723" s="18"/>
      <c r="P723" t="s">
        <v>376</v>
      </c>
    </row>
    <row r="724" spans="1:16">
      <c r="A724" s="1">
        <v>36289</v>
      </c>
      <c r="B724">
        <v>-36.835616438356098</v>
      </c>
      <c r="C724">
        <v>43.956262425447299</v>
      </c>
      <c r="D724">
        <v>58</v>
      </c>
      <c r="H724" s="12">
        <f t="shared" si="0"/>
        <v>0.38535088136401713</v>
      </c>
      <c r="I724" s="18">
        <f t="shared" si="1"/>
        <v>2.9166666666666668E-3</v>
      </c>
      <c r="J724" s="18">
        <f t="shared" si="1"/>
        <v>7.0833333333333338E-3</v>
      </c>
      <c r="K724" s="18"/>
      <c r="L724">
        <v>7.0000000000000007E-2</v>
      </c>
      <c r="M724" s="18">
        <v>0.17</v>
      </c>
      <c r="N724" s="18"/>
      <c r="P724" t="s">
        <v>376</v>
      </c>
    </row>
    <row r="725" spans="1:16">
      <c r="A725" s="1">
        <v>36290</v>
      </c>
      <c r="B725">
        <v>-36.835616438356098</v>
      </c>
      <c r="C725">
        <v>43.956262425447299</v>
      </c>
      <c r="D725">
        <v>86</v>
      </c>
      <c r="H725" s="12">
        <f t="shared" si="0"/>
        <v>0.81291335664285558</v>
      </c>
      <c r="I725" s="18">
        <f t="shared" si="1"/>
        <v>8.3333333333333339E-4</v>
      </c>
      <c r="J725" s="18">
        <f t="shared" si="1"/>
        <v>5.4166666666666669E-3</v>
      </c>
      <c r="K725" s="18"/>
      <c r="L725">
        <v>0.02</v>
      </c>
      <c r="M725" s="18">
        <v>0.13</v>
      </c>
      <c r="N725" s="18"/>
      <c r="P725" t="s">
        <v>376</v>
      </c>
    </row>
    <row r="726" spans="1:16">
      <c r="A726" s="1">
        <v>36291</v>
      </c>
      <c r="B726">
        <v>-39.767123287671197</v>
      </c>
      <c r="C726">
        <v>44.063618290258397</v>
      </c>
      <c r="D726">
        <v>0</v>
      </c>
      <c r="H726" s="12">
        <f t="shared" si="0"/>
        <v>0.16208054461286661</v>
      </c>
      <c r="I726" s="18">
        <f t="shared" si="1"/>
        <v>1.7499999999999998E-2</v>
      </c>
      <c r="J726" s="18">
        <f t="shared" si="1"/>
        <v>2.5416666666666667E-2</v>
      </c>
      <c r="K726" s="18"/>
      <c r="L726">
        <v>0.42</v>
      </c>
      <c r="M726" s="18">
        <v>0.61</v>
      </c>
      <c r="N726" s="18"/>
      <c r="P726" t="s">
        <v>376</v>
      </c>
    </row>
    <row r="727" spans="1:16">
      <c r="A727" s="1">
        <v>36292</v>
      </c>
      <c r="B727">
        <v>-39.767123287671197</v>
      </c>
      <c r="C727">
        <v>44.063618290258397</v>
      </c>
      <c r="D727">
        <v>9</v>
      </c>
      <c r="H727" s="12">
        <f t="shared" si="0"/>
        <v>-0.22888201234756023</v>
      </c>
      <c r="I727" s="18">
        <f t="shared" si="1"/>
        <v>3.4583333333333334E-2</v>
      </c>
      <c r="J727" s="18">
        <f t="shared" si="1"/>
        <v>2.0416666666666666E-2</v>
      </c>
      <c r="K727" s="18"/>
      <c r="L727">
        <v>0.83</v>
      </c>
      <c r="M727" s="18">
        <v>0.49</v>
      </c>
      <c r="N727" s="18"/>
      <c r="P727" t="s">
        <v>376</v>
      </c>
    </row>
    <row r="728" spans="1:16">
      <c r="A728" s="1">
        <v>36293</v>
      </c>
      <c r="B728">
        <v>-39.767123287671197</v>
      </c>
      <c r="C728">
        <v>44.063618290258397</v>
      </c>
      <c r="D728">
        <v>15</v>
      </c>
      <c r="H728" s="12">
        <f t="shared" si="0"/>
        <v>-6.1053965409978005E-2</v>
      </c>
      <c r="I728" s="18">
        <f t="shared" si="1"/>
        <v>2.5416666666666667E-2</v>
      </c>
      <c r="J728" s="18">
        <f t="shared" si="1"/>
        <v>2.2083333333333333E-2</v>
      </c>
      <c r="K728" s="18"/>
      <c r="L728">
        <v>0.61</v>
      </c>
      <c r="M728" s="18">
        <v>0.53</v>
      </c>
      <c r="N728" s="18"/>
      <c r="P728" t="s">
        <v>376</v>
      </c>
    </row>
    <row r="729" spans="1:16">
      <c r="A729" s="1">
        <v>36294</v>
      </c>
      <c r="B729">
        <v>-39.767123287671197</v>
      </c>
      <c r="C729">
        <v>44.063618290258397</v>
      </c>
      <c r="D729">
        <v>29</v>
      </c>
      <c r="H729" s="12">
        <f t="shared" si="0"/>
        <v>-0.38021124171160603</v>
      </c>
      <c r="I729" s="18">
        <f t="shared" si="1"/>
        <v>3.4999999999999996E-2</v>
      </c>
      <c r="J729" s="18">
        <f t="shared" si="1"/>
        <v>1.4583333333333332E-2</v>
      </c>
      <c r="K729" s="18"/>
      <c r="L729">
        <v>0.84</v>
      </c>
      <c r="M729" s="18">
        <v>0.35</v>
      </c>
      <c r="N729" s="18"/>
      <c r="P729" t="s">
        <v>376</v>
      </c>
    </row>
    <row r="730" spans="1:16">
      <c r="A730" s="1">
        <v>36295</v>
      </c>
      <c r="B730">
        <v>-39.767123287671197</v>
      </c>
      <c r="C730">
        <v>44.063618290258397</v>
      </c>
      <c r="D730">
        <v>58</v>
      </c>
      <c r="H730" s="12">
        <f t="shared" si="0"/>
        <v>0.28172484046859453</v>
      </c>
      <c r="I730" s="18">
        <f t="shared" si="1"/>
        <v>9.5833333333333343E-3</v>
      </c>
      <c r="J730" s="18">
        <f t="shared" si="1"/>
        <v>1.8333333333333333E-2</v>
      </c>
      <c r="K730" s="18"/>
      <c r="L730">
        <v>0.23</v>
      </c>
      <c r="M730" s="18">
        <v>0.44</v>
      </c>
      <c r="N730" s="18"/>
      <c r="P730" t="s">
        <v>376</v>
      </c>
    </row>
    <row r="731" spans="1:16">
      <c r="A731" s="1">
        <v>36296</v>
      </c>
      <c r="B731">
        <v>-39.767123287671197</v>
      </c>
      <c r="C731">
        <v>44.063618290258397</v>
      </c>
      <c r="D731">
        <v>86</v>
      </c>
      <c r="H731" s="12">
        <f t="shared" si="0"/>
        <v>1.0669467896306131</v>
      </c>
      <c r="I731" s="18">
        <f t="shared" si="1"/>
        <v>1.25E-3</v>
      </c>
      <c r="J731" s="18">
        <f t="shared" si="1"/>
        <v>1.4583333333333332E-2</v>
      </c>
      <c r="K731" s="18"/>
      <c r="L731">
        <v>0.03</v>
      </c>
      <c r="M731" s="18">
        <v>0.35</v>
      </c>
      <c r="N731" s="18"/>
      <c r="P731" t="s">
        <v>376</v>
      </c>
    </row>
    <row r="732" spans="1:16">
      <c r="A732" s="1">
        <v>36297</v>
      </c>
      <c r="B732">
        <v>-42.863013698630098</v>
      </c>
      <c r="C732">
        <v>40.9145129224652</v>
      </c>
      <c r="D732">
        <v>0</v>
      </c>
      <c r="H732" s="12">
        <f t="shared" si="0"/>
        <v>-5.1152522447381256E-2</v>
      </c>
      <c r="I732" s="18">
        <f t="shared" si="1"/>
        <v>7.4999999999999997E-3</v>
      </c>
      <c r="J732" s="18">
        <f t="shared" si="1"/>
        <v>6.6666666666666671E-3</v>
      </c>
      <c r="K732" s="18"/>
      <c r="L732">
        <v>0.18</v>
      </c>
      <c r="M732" s="18">
        <v>0.16</v>
      </c>
      <c r="N732" s="18"/>
      <c r="P732" t="s">
        <v>376</v>
      </c>
    </row>
    <row r="733" spans="1:16">
      <c r="A733" s="1">
        <v>36298</v>
      </c>
      <c r="B733">
        <v>-42.863013698630098</v>
      </c>
      <c r="C733">
        <v>40.9145129224652</v>
      </c>
      <c r="D733">
        <v>5</v>
      </c>
      <c r="H733" s="12">
        <f t="shared" si="0"/>
        <v>-0.21559980033935491</v>
      </c>
      <c r="I733" s="18">
        <f t="shared" si="1"/>
        <v>9.5833333333333343E-3</v>
      </c>
      <c r="J733" s="18">
        <f t="shared" si="1"/>
        <v>5.8333333333333336E-3</v>
      </c>
      <c r="K733" s="18"/>
      <c r="L733">
        <v>0.23</v>
      </c>
      <c r="M733" s="18">
        <v>0.14000000000000001</v>
      </c>
      <c r="N733" s="18"/>
      <c r="P733" t="s">
        <v>376</v>
      </c>
    </row>
    <row r="734" spans="1:16">
      <c r="A734" s="1">
        <v>36299</v>
      </c>
      <c r="B734">
        <v>-42.863013698630098</v>
      </c>
      <c r="C734">
        <v>40.9145129224652</v>
      </c>
      <c r="D734">
        <v>9</v>
      </c>
      <c r="H734" s="12">
        <f t="shared" si="0"/>
        <v>-0.37741834152743592</v>
      </c>
      <c r="I734" s="18">
        <f t="shared" si="1"/>
        <v>1.2916666666666667E-2</v>
      </c>
      <c r="J734" s="18">
        <f t="shared" si="1"/>
        <v>5.4166666666666669E-3</v>
      </c>
      <c r="K734" s="18"/>
      <c r="L734">
        <v>0.31</v>
      </c>
      <c r="M734" s="18">
        <v>0.13</v>
      </c>
      <c r="N734" s="18"/>
      <c r="P734" t="s">
        <v>376</v>
      </c>
    </row>
    <row r="735" spans="1:16">
      <c r="A735" s="1">
        <v>36300</v>
      </c>
      <c r="B735">
        <v>-42.863013698630098</v>
      </c>
      <c r="C735">
        <v>40.9145129224652</v>
      </c>
      <c r="D735">
        <v>18</v>
      </c>
      <c r="H735" s="12">
        <f t="shared" si="0"/>
        <v>0</v>
      </c>
      <c r="I735" s="18">
        <f t="shared" si="1"/>
        <v>6.2499999999999995E-3</v>
      </c>
      <c r="J735" s="18">
        <f t="shared" si="1"/>
        <v>6.2499999999999995E-3</v>
      </c>
      <c r="K735" s="18"/>
      <c r="L735">
        <v>0.15</v>
      </c>
      <c r="M735" s="18">
        <v>0.15</v>
      </c>
      <c r="N735" s="18"/>
      <c r="P735" t="s">
        <v>376</v>
      </c>
    </row>
    <row r="736" spans="1:16">
      <c r="A736" s="1">
        <v>36301</v>
      </c>
      <c r="B736">
        <v>-42.863013698630098</v>
      </c>
      <c r="C736">
        <v>40.9145129224652</v>
      </c>
      <c r="D736">
        <v>35</v>
      </c>
      <c r="H736" s="12">
        <f t="shared" si="0"/>
        <v>-0.24778448371075615</v>
      </c>
      <c r="I736" s="18">
        <f t="shared" si="1"/>
        <v>9.5833333333333343E-3</v>
      </c>
      <c r="J736" s="18">
        <f t="shared" si="1"/>
        <v>5.4166666666666669E-3</v>
      </c>
      <c r="K736" s="18"/>
      <c r="L736">
        <v>0.23</v>
      </c>
      <c r="M736" s="18">
        <v>0.13</v>
      </c>
      <c r="N736" s="18"/>
      <c r="P736" t="s">
        <v>376</v>
      </c>
    </row>
    <row r="737" spans="1:16">
      <c r="A737" s="1">
        <v>36302</v>
      </c>
      <c r="B737">
        <v>-42.863013698630098</v>
      </c>
      <c r="C737">
        <v>40.9145129224652</v>
      </c>
      <c r="D737">
        <v>53</v>
      </c>
      <c r="H737" s="12">
        <f t="shared" si="0"/>
        <v>-5.1152522447381256E-2</v>
      </c>
      <c r="I737" s="18">
        <f t="shared" si="1"/>
        <v>3.7499999999999999E-3</v>
      </c>
      <c r="J737" s="18">
        <f t="shared" si="1"/>
        <v>3.3333333333333335E-3</v>
      </c>
      <c r="K737" s="18"/>
      <c r="L737">
        <v>0.09</v>
      </c>
      <c r="M737" s="18">
        <v>0.08</v>
      </c>
      <c r="N737" s="18"/>
      <c r="P737" t="s">
        <v>376</v>
      </c>
    </row>
    <row r="738" spans="1:16">
      <c r="A738" s="1">
        <v>36303</v>
      </c>
      <c r="B738">
        <v>-45.328767123287598</v>
      </c>
      <c r="C738">
        <v>38.7316103379721</v>
      </c>
      <c r="D738">
        <v>0</v>
      </c>
      <c r="H738" s="12">
        <f t="shared" si="0"/>
        <v>0</v>
      </c>
      <c r="I738" s="18">
        <f t="shared" si="1"/>
        <v>2.5000000000000001E-3</v>
      </c>
      <c r="J738" s="18">
        <f t="shared" si="1"/>
        <v>2.5000000000000001E-3</v>
      </c>
      <c r="K738" s="18"/>
      <c r="L738">
        <v>0.06</v>
      </c>
      <c r="M738" s="18">
        <v>0.06</v>
      </c>
      <c r="N738" s="18"/>
      <c r="P738" t="s">
        <v>376</v>
      </c>
    </row>
    <row r="739" spans="1:16">
      <c r="A739" s="1">
        <v>36304</v>
      </c>
      <c r="B739">
        <v>-45.328767123287598</v>
      </c>
      <c r="C739">
        <v>38.7316103379721</v>
      </c>
      <c r="D739">
        <v>5</v>
      </c>
      <c r="H739" s="12">
        <f t="shared" si="0"/>
        <v>-0.25527250510330607</v>
      </c>
      <c r="I739" s="18">
        <f t="shared" si="1"/>
        <v>3.7499999999999999E-3</v>
      </c>
      <c r="J739" s="18">
        <f t="shared" si="1"/>
        <v>2.0833333333333333E-3</v>
      </c>
      <c r="K739" s="18"/>
      <c r="L739">
        <v>0.09</v>
      </c>
      <c r="M739" s="18">
        <v>0.05</v>
      </c>
      <c r="N739" s="18"/>
      <c r="P739" t="s">
        <v>376</v>
      </c>
    </row>
    <row r="740" spans="1:16">
      <c r="A740" s="1">
        <v>36305</v>
      </c>
      <c r="B740">
        <v>-45.328767123287598</v>
      </c>
      <c r="C740">
        <v>38.7316103379721</v>
      </c>
      <c r="D740">
        <v>9</v>
      </c>
      <c r="H740" s="12">
        <f t="shared" si="0"/>
        <v>0.33099321904142442</v>
      </c>
      <c r="I740" s="18">
        <f t="shared" si="1"/>
        <v>2.9166666666666668E-3</v>
      </c>
      <c r="J740" s="18">
        <f t="shared" si="1"/>
        <v>6.2499999999999995E-3</v>
      </c>
      <c r="K740" s="18"/>
      <c r="L740">
        <v>7.0000000000000007E-2</v>
      </c>
      <c r="M740" s="18">
        <v>0.15</v>
      </c>
      <c r="N740" s="18"/>
      <c r="P740" t="s">
        <v>376</v>
      </c>
    </row>
    <row r="741" spans="1:16">
      <c r="A741" s="1">
        <v>36306</v>
      </c>
      <c r="B741">
        <v>-45.328767123287598</v>
      </c>
      <c r="C741">
        <v>38.7316103379721</v>
      </c>
      <c r="D741">
        <v>18</v>
      </c>
      <c r="H741" s="12">
        <f t="shared" si="0"/>
        <v>-0.24303804868629447</v>
      </c>
      <c r="I741" s="18">
        <f t="shared" si="1"/>
        <v>2.9166666666666668E-3</v>
      </c>
      <c r="J741" s="18">
        <f t="shared" si="1"/>
        <v>1.6666666666666668E-3</v>
      </c>
      <c r="K741" s="18"/>
      <c r="L741">
        <v>7.0000000000000007E-2</v>
      </c>
      <c r="M741" s="18">
        <v>0.04</v>
      </c>
      <c r="N741" s="18"/>
      <c r="P741" t="s">
        <v>376</v>
      </c>
    </row>
    <row r="742" spans="1:16">
      <c r="A742" s="1">
        <v>36307</v>
      </c>
      <c r="B742">
        <v>-45.328767123287598</v>
      </c>
      <c r="C742">
        <v>38.7316103379721</v>
      </c>
      <c r="D742">
        <v>35</v>
      </c>
      <c r="H742" s="12">
        <f t="shared" si="0"/>
        <v>0</v>
      </c>
      <c r="I742" s="18">
        <f t="shared" si="1"/>
        <v>1.25E-3</v>
      </c>
      <c r="J742" s="18">
        <f t="shared" si="1"/>
        <v>1.25E-3</v>
      </c>
      <c r="K742" s="18"/>
      <c r="L742">
        <v>0.03</v>
      </c>
      <c r="M742" s="18">
        <v>0.03</v>
      </c>
      <c r="N742" s="18"/>
      <c r="P742" t="s">
        <v>376</v>
      </c>
    </row>
    <row r="743" spans="1:16">
      <c r="A743" s="1">
        <v>36308</v>
      </c>
      <c r="B743">
        <v>-45.328767123287598</v>
      </c>
      <c r="C743">
        <v>38.7316103379721</v>
      </c>
      <c r="D743">
        <v>53</v>
      </c>
      <c r="H743" s="12">
        <f t="shared" si="0"/>
        <v>0.81291335664285558</v>
      </c>
      <c r="I743" s="18">
        <f t="shared" si="1"/>
        <v>8.3333333333333339E-4</v>
      </c>
      <c r="J743" s="18">
        <f t="shared" si="1"/>
        <v>5.4166666666666669E-3</v>
      </c>
      <c r="K743" s="18"/>
      <c r="L743">
        <v>0.02</v>
      </c>
      <c r="M743" s="18">
        <v>0.13</v>
      </c>
      <c r="N743" s="18"/>
      <c r="P743" t="s">
        <v>376</v>
      </c>
    </row>
    <row r="744" spans="1:16">
      <c r="A744" s="1">
        <v>36309</v>
      </c>
      <c r="B744">
        <v>-46.616438356164302</v>
      </c>
      <c r="C744">
        <v>37.836978131212703</v>
      </c>
      <c r="D744">
        <v>0</v>
      </c>
      <c r="H744" s="12">
        <f t="shared" si="0"/>
        <v>0.55930801090701243</v>
      </c>
      <c r="I744" s="18">
        <f t="shared" si="1"/>
        <v>0.01</v>
      </c>
      <c r="J744" s="18">
        <f t="shared" si="1"/>
        <v>3.6249999999999998E-2</v>
      </c>
      <c r="K744" s="18"/>
      <c r="L744">
        <v>0.24</v>
      </c>
      <c r="M744" s="18">
        <v>0.87</v>
      </c>
      <c r="N744" s="18"/>
      <c r="P744" t="s">
        <v>376</v>
      </c>
    </row>
    <row r="745" spans="1:16">
      <c r="A745" s="1">
        <v>36310</v>
      </c>
      <c r="B745">
        <v>-46.616438356164302</v>
      </c>
      <c r="C745">
        <v>37.836978131212703</v>
      </c>
      <c r="D745">
        <v>10</v>
      </c>
      <c r="H745" s="12">
        <f t="shared" si="0"/>
        <v>0.43365556093857216</v>
      </c>
      <c r="I745" s="18">
        <f t="shared" si="1"/>
        <v>8.7499999999999991E-3</v>
      </c>
      <c r="J745" s="18">
        <f t="shared" si="1"/>
        <v>2.3749999999999997E-2</v>
      </c>
      <c r="K745" s="18"/>
      <c r="L745">
        <v>0.21</v>
      </c>
      <c r="M745" s="18">
        <v>0.56999999999999995</v>
      </c>
      <c r="N745" s="18"/>
      <c r="P745" t="s">
        <v>376</v>
      </c>
    </row>
    <row r="746" spans="1:16">
      <c r="A746" s="1">
        <v>36311</v>
      </c>
      <c r="B746">
        <v>-46.616438356164302</v>
      </c>
      <c r="C746">
        <v>37.836978131212703</v>
      </c>
      <c r="D746">
        <v>17</v>
      </c>
      <c r="H746" s="12">
        <f t="shared" si="0"/>
        <v>0.67844833719141706</v>
      </c>
      <c r="I746" s="18">
        <f t="shared" si="1"/>
        <v>5.4166666666666669E-3</v>
      </c>
      <c r="J746" s="18">
        <f t="shared" si="1"/>
        <v>2.5833333333333333E-2</v>
      </c>
      <c r="K746" s="18"/>
      <c r="L746">
        <v>0.13</v>
      </c>
      <c r="M746" s="18">
        <v>0.62</v>
      </c>
      <c r="N746" s="18"/>
      <c r="P746" t="s">
        <v>376</v>
      </c>
    </row>
    <row r="747" spans="1:16">
      <c r="A747" s="1">
        <v>36312</v>
      </c>
      <c r="B747">
        <v>-46.616438356164302</v>
      </c>
      <c r="C747">
        <v>37.836978131212703</v>
      </c>
      <c r="D747">
        <v>32</v>
      </c>
      <c r="H747" s="12">
        <f t="shared" si="0"/>
        <v>0.743937149852542</v>
      </c>
      <c r="I747" s="18">
        <f t="shared" si="1"/>
        <v>4.5833333333333334E-3</v>
      </c>
      <c r="J747" s="18">
        <f t="shared" si="1"/>
        <v>2.5416666666666667E-2</v>
      </c>
      <c r="K747" s="18"/>
      <c r="L747">
        <v>0.11</v>
      </c>
      <c r="M747" s="18">
        <v>0.61</v>
      </c>
      <c r="N747" s="18"/>
      <c r="P747" t="s">
        <v>376</v>
      </c>
    </row>
    <row r="748" spans="1:16">
      <c r="A748" s="1">
        <v>36313</v>
      </c>
      <c r="B748">
        <v>-46.616438356164302</v>
      </c>
      <c r="C748">
        <v>37.836978131212703</v>
      </c>
      <c r="D748">
        <v>64</v>
      </c>
      <c r="H748" s="12">
        <f t="shared" si="0"/>
        <v>0.81291335664285558</v>
      </c>
      <c r="I748" s="18">
        <f t="shared" si="1"/>
        <v>1.6666666666666668E-3</v>
      </c>
      <c r="J748" s="18">
        <f t="shared" si="1"/>
        <v>1.0833333333333334E-2</v>
      </c>
      <c r="K748" s="18"/>
      <c r="L748">
        <v>0.04</v>
      </c>
      <c r="M748" s="18">
        <v>0.26</v>
      </c>
      <c r="N748" s="18"/>
      <c r="P748" t="s">
        <v>376</v>
      </c>
    </row>
    <row r="749" spans="1:16">
      <c r="A749" s="1">
        <v>36314</v>
      </c>
      <c r="B749">
        <v>-46.616438356164302</v>
      </c>
      <c r="C749">
        <v>37.836978131212703</v>
      </c>
      <c r="D749">
        <v>96</v>
      </c>
      <c r="H749" s="12">
        <f t="shared" si="0"/>
        <v>0.47712125471966244</v>
      </c>
      <c r="I749" s="18">
        <f t="shared" si="1"/>
        <v>4.1666666666666669E-4</v>
      </c>
      <c r="J749" s="18">
        <f t="shared" si="1"/>
        <v>1.25E-3</v>
      </c>
      <c r="K749" s="18"/>
      <c r="L749">
        <v>0.01</v>
      </c>
      <c r="M749" s="18">
        <v>0.03</v>
      </c>
      <c r="N749" s="18"/>
      <c r="P749" t="s">
        <v>376</v>
      </c>
    </row>
    <row r="750" spans="1:16">
      <c r="A750" s="1">
        <v>25734</v>
      </c>
      <c r="B750">
        <v>32.880000000000003</v>
      </c>
      <c r="C750">
        <v>-117.2</v>
      </c>
      <c r="D750">
        <v>1</v>
      </c>
      <c r="E750">
        <v>1.1100000000000001</v>
      </c>
      <c r="F750">
        <v>2.73</v>
      </c>
      <c r="G750">
        <v>3.79</v>
      </c>
      <c r="I750"/>
    </row>
    <row r="751" spans="1:16">
      <c r="A751" s="1">
        <v>25734</v>
      </c>
      <c r="B751">
        <v>32.880000000000003</v>
      </c>
      <c r="C751">
        <v>-117.2</v>
      </c>
      <c r="D751">
        <v>5</v>
      </c>
      <c r="E751">
        <v>0.84</v>
      </c>
      <c r="F751">
        <v>2.21</v>
      </c>
      <c r="G751">
        <v>2.91</v>
      </c>
      <c r="I751"/>
    </row>
    <row r="752" spans="1:16">
      <c r="A752" s="1">
        <v>25734</v>
      </c>
      <c r="B752">
        <v>32.880000000000003</v>
      </c>
      <c r="C752">
        <v>-117.2</v>
      </c>
      <c r="D752">
        <v>12</v>
      </c>
      <c r="E752">
        <v>1.98</v>
      </c>
      <c r="F752">
        <v>1.31</v>
      </c>
      <c r="G752">
        <v>2.97</v>
      </c>
      <c r="I752"/>
    </row>
    <row r="753" spans="1:9">
      <c r="A753" s="1">
        <v>25734</v>
      </c>
      <c r="B753">
        <v>32.880000000000003</v>
      </c>
      <c r="C753">
        <v>-117.2</v>
      </c>
      <c r="D753">
        <v>18</v>
      </c>
      <c r="E753">
        <v>1.33</v>
      </c>
      <c r="F753">
        <v>1.57</v>
      </c>
      <c r="G753">
        <v>2.0499999999999998</v>
      </c>
      <c r="I753"/>
    </row>
    <row r="754" spans="1:9">
      <c r="A754" s="1">
        <v>25734</v>
      </c>
      <c r="B754">
        <v>32.880000000000003</v>
      </c>
      <c r="C754">
        <v>-117.2</v>
      </c>
      <c r="D754">
        <v>25</v>
      </c>
      <c r="E754">
        <v>0.8</v>
      </c>
      <c r="F754">
        <v>0.1</v>
      </c>
      <c r="G754">
        <v>1.47</v>
      </c>
      <c r="I754"/>
    </row>
    <row r="755" spans="1:9">
      <c r="A755" s="1">
        <v>25734</v>
      </c>
      <c r="B755">
        <v>32.880000000000003</v>
      </c>
      <c r="C755">
        <v>-117.2</v>
      </c>
      <c r="D755">
        <v>33</v>
      </c>
      <c r="E755">
        <v>3.71</v>
      </c>
      <c r="F755">
        <v>0.34</v>
      </c>
      <c r="G755">
        <v>1.8</v>
      </c>
      <c r="I755"/>
    </row>
    <row r="756" spans="1:9">
      <c r="A756" s="1">
        <v>25734</v>
      </c>
      <c r="B756">
        <v>32.700000000000003</v>
      </c>
      <c r="C756">
        <v>-117.25</v>
      </c>
      <c r="D756">
        <v>1</v>
      </c>
      <c r="E756">
        <v>7.77</v>
      </c>
      <c r="F756">
        <v>0.13</v>
      </c>
      <c r="G756">
        <v>0.23</v>
      </c>
      <c r="I756"/>
    </row>
    <row r="757" spans="1:9">
      <c r="A757" s="1">
        <v>25734</v>
      </c>
      <c r="B757">
        <v>32.700000000000003</v>
      </c>
      <c r="C757">
        <v>-117.25</v>
      </c>
      <c r="D757">
        <v>9</v>
      </c>
      <c r="E757">
        <v>3.69</v>
      </c>
      <c r="F757">
        <v>0.19</v>
      </c>
      <c r="G757">
        <v>1.05</v>
      </c>
      <c r="I757"/>
    </row>
    <row r="758" spans="1:9">
      <c r="A758" s="1">
        <v>25734</v>
      </c>
      <c r="B758">
        <v>32.700000000000003</v>
      </c>
      <c r="C758">
        <v>-117.25</v>
      </c>
      <c r="D758">
        <v>16</v>
      </c>
      <c r="E758">
        <v>4.4000000000000004</v>
      </c>
      <c r="F758">
        <v>0.54</v>
      </c>
      <c r="G758">
        <v>0.91</v>
      </c>
      <c r="I758"/>
    </row>
    <row r="759" spans="1:9">
      <c r="A759" s="1">
        <v>25734</v>
      </c>
      <c r="B759">
        <v>32.700000000000003</v>
      </c>
      <c r="C759">
        <v>-117.25</v>
      </c>
      <c r="D759">
        <v>30</v>
      </c>
      <c r="E759">
        <v>1.39</v>
      </c>
      <c r="F759">
        <v>0.03</v>
      </c>
      <c r="G759">
        <v>0.23</v>
      </c>
      <c r="I759"/>
    </row>
    <row r="760" spans="1:9">
      <c r="A760" s="1">
        <v>25734</v>
      </c>
      <c r="B760">
        <v>32.700000000000003</v>
      </c>
      <c r="C760">
        <v>-117.25</v>
      </c>
      <c r="D760">
        <v>35</v>
      </c>
      <c r="E760">
        <v>0.82</v>
      </c>
      <c r="F760">
        <v>0.15</v>
      </c>
      <c r="G760">
        <v>0.11</v>
      </c>
      <c r="I760"/>
    </row>
    <row r="761" spans="1:9">
      <c r="A761" s="1">
        <v>25734</v>
      </c>
      <c r="B761">
        <v>32.700000000000003</v>
      </c>
      <c r="C761">
        <v>-117.25</v>
      </c>
      <c r="D761">
        <v>54</v>
      </c>
      <c r="E761">
        <v>0.28999999999999998</v>
      </c>
      <c r="F761">
        <v>0.03</v>
      </c>
      <c r="G761">
        <v>0.42</v>
      </c>
      <c r="I761"/>
    </row>
    <row r="762" spans="1:9">
      <c r="A762" s="1">
        <v>25734</v>
      </c>
      <c r="B762">
        <v>32.880000000000003</v>
      </c>
      <c r="C762">
        <v>-117.2</v>
      </c>
      <c r="D762">
        <v>1</v>
      </c>
      <c r="E762">
        <v>1.91</v>
      </c>
      <c r="F762">
        <v>1.82</v>
      </c>
      <c r="G762">
        <v>2.2400000000000002</v>
      </c>
      <c r="I762"/>
    </row>
    <row r="763" spans="1:9">
      <c r="A763" s="1">
        <v>25734</v>
      </c>
      <c r="B763">
        <v>32.880000000000003</v>
      </c>
      <c r="C763">
        <v>-117.2</v>
      </c>
      <c r="D763">
        <v>24</v>
      </c>
      <c r="E763">
        <v>3.32</v>
      </c>
      <c r="F763">
        <v>0.19</v>
      </c>
      <c r="G763">
        <v>0.11</v>
      </c>
      <c r="I763"/>
    </row>
    <row r="764" spans="1:9">
      <c r="A764" s="1">
        <v>25734</v>
      </c>
      <c r="B764">
        <v>32.880000000000003</v>
      </c>
      <c r="C764">
        <v>-117.2</v>
      </c>
      <c r="D764">
        <v>2</v>
      </c>
      <c r="E764">
        <v>0.94</v>
      </c>
      <c r="F764">
        <v>2.81</v>
      </c>
      <c r="G764">
        <v>9.32</v>
      </c>
      <c r="I764"/>
    </row>
    <row r="765" spans="1:9">
      <c r="A765" s="1">
        <v>25734</v>
      </c>
      <c r="B765">
        <v>32.880000000000003</v>
      </c>
      <c r="C765">
        <v>-117.2</v>
      </c>
      <c r="D765">
        <v>7</v>
      </c>
      <c r="E765">
        <v>1.06</v>
      </c>
      <c r="F765">
        <v>3.09</v>
      </c>
      <c r="G765">
        <v>3.43</v>
      </c>
      <c r="I765"/>
    </row>
    <row r="766" spans="1:9">
      <c r="A766" s="1">
        <v>25734</v>
      </c>
      <c r="B766">
        <v>32.880000000000003</v>
      </c>
      <c r="C766">
        <v>-117.2</v>
      </c>
      <c r="D766">
        <v>13</v>
      </c>
      <c r="E766">
        <v>1.64</v>
      </c>
      <c r="F766">
        <v>2.08</v>
      </c>
      <c r="G766">
        <v>2.21</v>
      </c>
      <c r="I766"/>
    </row>
    <row r="767" spans="1:9">
      <c r="A767" s="1">
        <v>25734</v>
      </c>
      <c r="B767">
        <v>32.880000000000003</v>
      </c>
      <c r="C767">
        <v>-117.2</v>
      </c>
      <c r="D767">
        <v>16</v>
      </c>
      <c r="E767">
        <v>1.68</v>
      </c>
      <c r="F767">
        <v>2.93</v>
      </c>
      <c r="G767">
        <v>0.56000000000000005</v>
      </c>
      <c r="I767"/>
    </row>
    <row r="768" spans="1:9">
      <c r="A768" s="1">
        <v>25734</v>
      </c>
      <c r="B768">
        <v>32.880000000000003</v>
      </c>
      <c r="C768">
        <v>-117.2</v>
      </c>
      <c r="D768">
        <v>23</v>
      </c>
      <c r="E768">
        <v>1.89</v>
      </c>
      <c r="F768">
        <v>0.51</v>
      </c>
      <c r="G768">
        <v>0.32</v>
      </c>
      <c r="I768"/>
    </row>
    <row r="769" spans="1:9">
      <c r="A769" s="1">
        <v>25734</v>
      </c>
      <c r="B769">
        <v>32.880000000000003</v>
      </c>
      <c r="C769">
        <v>-117.2</v>
      </c>
      <c r="D769">
        <v>30</v>
      </c>
      <c r="E769">
        <v>1.61</v>
      </c>
      <c r="F769">
        <v>0.61</v>
      </c>
      <c r="G769">
        <v>0.38</v>
      </c>
      <c r="I769"/>
    </row>
    <row r="770" spans="1:9">
      <c r="A770" s="1">
        <v>25734</v>
      </c>
      <c r="B770">
        <v>32.880000000000003</v>
      </c>
      <c r="C770">
        <v>-117.2</v>
      </c>
      <c r="D770">
        <v>1</v>
      </c>
      <c r="E770">
        <v>3.19</v>
      </c>
      <c r="F770">
        <v>1.82</v>
      </c>
      <c r="G770">
        <v>1.29</v>
      </c>
      <c r="I770"/>
    </row>
    <row r="771" spans="1:9">
      <c r="A771" s="1">
        <v>25734</v>
      </c>
      <c r="B771">
        <v>32.880000000000003</v>
      </c>
      <c r="C771">
        <v>-117.2</v>
      </c>
      <c r="D771">
        <v>12</v>
      </c>
      <c r="E771">
        <v>1.55</v>
      </c>
      <c r="F771">
        <v>0.56999999999999995</v>
      </c>
      <c r="G771">
        <v>2.65</v>
      </c>
      <c r="I771"/>
    </row>
    <row r="772" spans="1:9">
      <c r="A772" s="1">
        <v>25734</v>
      </c>
      <c r="B772">
        <v>32.880000000000003</v>
      </c>
      <c r="C772">
        <v>-117.2</v>
      </c>
      <c r="D772">
        <v>0</v>
      </c>
      <c r="E772">
        <v>1.98</v>
      </c>
      <c r="F772">
        <v>4.24</v>
      </c>
      <c r="G772">
        <v>1.0900000000000001</v>
      </c>
      <c r="I772"/>
    </row>
    <row r="773" spans="1:9">
      <c r="A773" s="1">
        <v>25734</v>
      </c>
      <c r="B773">
        <v>32.880000000000003</v>
      </c>
      <c r="C773">
        <v>-117.2</v>
      </c>
      <c r="D773">
        <v>4</v>
      </c>
      <c r="E773">
        <v>1.1299999999999999</v>
      </c>
      <c r="F773">
        <v>2.82</v>
      </c>
      <c r="G773">
        <v>4.2300000000000004</v>
      </c>
      <c r="I773"/>
    </row>
    <row r="774" spans="1:9">
      <c r="A774" s="1">
        <v>25734</v>
      </c>
      <c r="B774">
        <v>32.880000000000003</v>
      </c>
      <c r="C774">
        <v>-117.2</v>
      </c>
      <c r="D774">
        <v>10</v>
      </c>
      <c r="E774">
        <v>1.6</v>
      </c>
      <c r="F774">
        <v>4.79</v>
      </c>
      <c r="G774">
        <v>1.04</v>
      </c>
      <c r="I774"/>
    </row>
    <row r="775" spans="1:9">
      <c r="A775" s="1">
        <v>25734</v>
      </c>
      <c r="B775">
        <v>32.880000000000003</v>
      </c>
      <c r="C775">
        <v>-117.2</v>
      </c>
      <c r="D775">
        <v>20</v>
      </c>
      <c r="E775">
        <v>1.79</v>
      </c>
      <c r="F775">
        <v>3.58</v>
      </c>
      <c r="G775">
        <v>0.73</v>
      </c>
      <c r="I775"/>
    </row>
    <row r="776" spans="1:9">
      <c r="A776" s="1">
        <v>25734</v>
      </c>
      <c r="B776">
        <v>32.880000000000003</v>
      </c>
      <c r="C776">
        <v>-117.2</v>
      </c>
      <c r="D776">
        <v>30</v>
      </c>
      <c r="E776">
        <v>1.66</v>
      </c>
      <c r="F776">
        <v>0.85</v>
      </c>
      <c r="G776">
        <v>0.31</v>
      </c>
      <c r="I776"/>
    </row>
    <row r="777" spans="1:9">
      <c r="A777" s="1">
        <v>25734</v>
      </c>
      <c r="B777">
        <v>32.880000000000003</v>
      </c>
      <c r="C777">
        <v>-117.2</v>
      </c>
      <c r="D777">
        <v>45</v>
      </c>
      <c r="E777">
        <v>2.65</v>
      </c>
      <c r="F777">
        <v>0.56000000000000005</v>
      </c>
      <c r="G777">
        <v>0.3</v>
      </c>
      <c r="I777"/>
    </row>
    <row r="778" spans="1:9">
      <c r="A778" s="1">
        <v>25734</v>
      </c>
      <c r="B778">
        <v>32.549999999999997</v>
      </c>
      <c r="C778">
        <v>-117.2</v>
      </c>
      <c r="D778">
        <v>0</v>
      </c>
      <c r="E778">
        <v>1.01</v>
      </c>
      <c r="F778">
        <v>2</v>
      </c>
      <c r="G778">
        <v>6.29</v>
      </c>
      <c r="I778"/>
    </row>
    <row r="779" spans="1:9">
      <c r="A779" s="1">
        <v>25734</v>
      </c>
      <c r="B779">
        <v>32.6</v>
      </c>
      <c r="C779">
        <v>-117.25</v>
      </c>
      <c r="D779">
        <v>1</v>
      </c>
      <c r="E779">
        <v>0.96</v>
      </c>
      <c r="F779">
        <v>2.2400000000000002</v>
      </c>
      <c r="G779">
        <v>5.15</v>
      </c>
      <c r="I779"/>
    </row>
    <row r="780" spans="1:9">
      <c r="A780" s="1">
        <v>25734</v>
      </c>
      <c r="B780">
        <v>33.75</v>
      </c>
      <c r="C780">
        <v>-118.2</v>
      </c>
      <c r="D780">
        <v>1</v>
      </c>
      <c r="E780">
        <v>0.86</v>
      </c>
      <c r="F780">
        <v>2.35</v>
      </c>
      <c r="G780">
        <v>3.09</v>
      </c>
      <c r="I780"/>
    </row>
    <row r="781" spans="1:9">
      <c r="A781" s="1">
        <v>25734</v>
      </c>
      <c r="B781">
        <v>33.75</v>
      </c>
      <c r="C781">
        <v>-118.2</v>
      </c>
      <c r="D781">
        <v>3</v>
      </c>
      <c r="E781">
        <v>0.86</v>
      </c>
      <c r="F781">
        <v>0.77</v>
      </c>
      <c r="G781">
        <v>3.27</v>
      </c>
      <c r="I781"/>
    </row>
    <row r="782" spans="1:9">
      <c r="A782" s="1">
        <v>25734</v>
      </c>
      <c r="B782">
        <v>33.75</v>
      </c>
      <c r="C782">
        <v>-118.2</v>
      </c>
      <c r="D782">
        <v>6</v>
      </c>
      <c r="E782">
        <v>0.98</v>
      </c>
      <c r="F782">
        <v>0.52</v>
      </c>
      <c r="G782">
        <v>2.3199999999999998</v>
      </c>
      <c r="I782"/>
    </row>
    <row r="783" spans="1:9">
      <c r="A783" s="1">
        <v>25734</v>
      </c>
      <c r="B783">
        <v>33.75</v>
      </c>
      <c r="C783">
        <v>-118.2</v>
      </c>
      <c r="D783">
        <v>9</v>
      </c>
      <c r="E783">
        <v>1.1299999999999999</v>
      </c>
      <c r="F783">
        <v>0.46</v>
      </c>
      <c r="G783">
        <v>2.38</v>
      </c>
      <c r="I783"/>
    </row>
    <row r="784" spans="1:9">
      <c r="A784" s="1">
        <v>25734</v>
      </c>
      <c r="B784">
        <v>33.75</v>
      </c>
      <c r="C784">
        <v>-118.2</v>
      </c>
      <c r="D784">
        <v>12</v>
      </c>
      <c r="E784">
        <v>0.75</v>
      </c>
      <c r="F784">
        <v>0.56000000000000005</v>
      </c>
      <c r="G784">
        <v>1.02</v>
      </c>
      <c r="I784"/>
    </row>
    <row r="785" spans="1:14">
      <c r="A785" s="1">
        <v>25734</v>
      </c>
      <c r="B785">
        <v>33.75</v>
      </c>
      <c r="C785">
        <v>-118.2</v>
      </c>
      <c r="D785">
        <v>15</v>
      </c>
      <c r="E785">
        <v>1.1499999999999999</v>
      </c>
      <c r="F785">
        <v>0.66</v>
      </c>
      <c r="G785">
        <v>1.39</v>
      </c>
      <c r="I785"/>
    </row>
    <row r="786" spans="1:14">
      <c r="L786"/>
      <c r="M786"/>
      <c r="N786"/>
    </row>
    <row r="787" spans="1:14">
      <c r="L787"/>
      <c r="M787"/>
      <c r="N787"/>
    </row>
    <row r="788" spans="1:14">
      <c r="L788"/>
      <c r="M788"/>
      <c r="N788"/>
    </row>
    <row r="789" spans="1:14">
      <c r="L789"/>
      <c r="M789"/>
      <c r="N789"/>
    </row>
    <row r="790" spans="1:14">
      <c r="L790"/>
      <c r="M790"/>
      <c r="N790"/>
    </row>
    <row r="791" spans="1:14">
      <c r="L791"/>
      <c r="M791"/>
      <c r="N791"/>
    </row>
    <row r="792" spans="1:14">
      <c r="L792"/>
      <c r="M792"/>
      <c r="N792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4F83-DC14-3D4A-875C-FDCB2D62ACC8}">
  <dimension ref="A1:X88"/>
  <sheetViews>
    <sheetView workbookViewId="0">
      <selection activeCell="E2" sqref="E2:G88"/>
    </sheetView>
  </sheetViews>
  <sheetFormatPr baseColWidth="10" defaultRowHeight="20"/>
  <sheetData>
    <row r="1" spans="1:24">
      <c r="A1" t="s">
        <v>419</v>
      </c>
      <c r="B1" t="s">
        <v>4</v>
      </c>
      <c r="C1" t="s">
        <v>5</v>
      </c>
      <c r="D1" t="s">
        <v>383</v>
      </c>
      <c r="E1" s="10" t="s">
        <v>53</v>
      </c>
      <c r="F1" s="8" t="s">
        <v>52</v>
      </c>
      <c r="G1" s="7" t="s">
        <v>421</v>
      </c>
      <c r="H1" t="s">
        <v>472</v>
      </c>
      <c r="I1" t="s">
        <v>482</v>
      </c>
      <c r="J1" t="s">
        <v>476</v>
      </c>
      <c r="K1" t="s">
        <v>473</v>
      </c>
      <c r="L1" t="s">
        <v>474</v>
      </c>
      <c r="M1" t="s">
        <v>475</v>
      </c>
      <c r="N1" t="s">
        <v>476</v>
      </c>
      <c r="O1" t="s">
        <v>477</v>
      </c>
      <c r="P1" t="s">
        <v>478</v>
      </c>
      <c r="Q1" t="s">
        <v>479</v>
      </c>
      <c r="R1" t="s">
        <v>480</v>
      </c>
      <c r="S1" t="s">
        <v>481</v>
      </c>
      <c r="T1" t="s">
        <v>482</v>
      </c>
      <c r="U1" t="s">
        <v>483</v>
      </c>
      <c r="V1" t="s">
        <v>484</v>
      </c>
      <c r="W1" t="s">
        <v>485</v>
      </c>
      <c r="X1" t="s">
        <v>486</v>
      </c>
    </row>
    <row r="2" spans="1:24">
      <c r="A2" s="1">
        <v>34955</v>
      </c>
      <c r="B2">
        <v>49.543909999999997</v>
      </c>
      <c r="C2">
        <v>-10.67793</v>
      </c>
      <c r="D2">
        <v>4.2</v>
      </c>
      <c r="E2">
        <f>IF(H2="","",H2/1000)</f>
        <v>1.6999999999999999E-3</v>
      </c>
      <c r="F2">
        <f t="shared" ref="F2:G2" si="0">IF(I2="","",I2/1000)</f>
        <v>6.9999999999999999E-4</v>
      </c>
      <c r="G2" t="str">
        <f t="shared" si="0"/>
        <v/>
      </c>
      <c r="H2">
        <v>1.7</v>
      </c>
      <c r="I2">
        <v>0.7</v>
      </c>
      <c r="K2" t="s">
        <v>487</v>
      </c>
      <c r="R2">
        <v>0.2</v>
      </c>
      <c r="T2">
        <v>0.7</v>
      </c>
      <c r="X2" t="s">
        <v>488</v>
      </c>
    </row>
    <row r="3" spans="1:24">
      <c r="A3" s="1">
        <v>34955</v>
      </c>
      <c r="B3">
        <v>49.543909999999997</v>
      </c>
      <c r="C3">
        <v>-10.67793</v>
      </c>
      <c r="D3">
        <v>50.1</v>
      </c>
      <c r="E3">
        <f t="shared" ref="E3:E66" si="1">IF(H3="","",H3/1000)</f>
        <v>5.7999999999999996E-3</v>
      </c>
      <c r="F3">
        <f t="shared" ref="F3:F66" si="2">IF(I3="","",I3/1000)</f>
        <v>2.3999999999999998E-3</v>
      </c>
      <c r="G3" t="str">
        <f t="shared" ref="G3:G66" si="3">IF(J3="","",J3/1000)</f>
        <v/>
      </c>
      <c r="H3">
        <v>5.8</v>
      </c>
      <c r="I3">
        <v>2.4</v>
      </c>
      <c r="K3" t="s">
        <v>487</v>
      </c>
      <c r="R3">
        <v>1</v>
      </c>
      <c r="T3">
        <v>2.4</v>
      </c>
      <c r="X3" t="s">
        <v>488</v>
      </c>
    </row>
    <row r="4" spans="1:24">
      <c r="A4" s="1">
        <v>34958</v>
      </c>
      <c r="B4">
        <v>47.416040000000002</v>
      </c>
      <c r="C4">
        <v>-7.26614</v>
      </c>
      <c r="D4">
        <v>4.3</v>
      </c>
      <c r="E4">
        <f t="shared" si="1"/>
        <v>1.49E-2</v>
      </c>
      <c r="F4">
        <f t="shared" si="2"/>
        <v>1.49E-2</v>
      </c>
      <c r="G4" t="str">
        <f t="shared" si="3"/>
        <v/>
      </c>
      <c r="H4">
        <v>14.9</v>
      </c>
      <c r="I4">
        <v>14.9</v>
      </c>
      <c r="R4">
        <v>13.2</v>
      </c>
      <c r="T4">
        <v>14.9</v>
      </c>
      <c r="X4" t="s">
        <v>489</v>
      </c>
    </row>
    <row r="5" spans="1:24">
      <c r="A5" s="1">
        <v>34958</v>
      </c>
      <c r="B5">
        <v>47.416040000000002</v>
      </c>
      <c r="C5">
        <v>-7.26614</v>
      </c>
      <c r="D5">
        <v>34.200000000000003</v>
      </c>
      <c r="E5">
        <f t="shared" si="1"/>
        <v>2.1000000000000003E-3</v>
      </c>
      <c r="F5">
        <f t="shared" si="2"/>
        <v>5.9999999999999995E-4</v>
      </c>
      <c r="G5" t="str">
        <f t="shared" si="3"/>
        <v/>
      </c>
      <c r="H5">
        <v>2.1</v>
      </c>
      <c r="I5">
        <v>0.6</v>
      </c>
      <c r="R5">
        <v>4.2</v>
      </c>
      <c r="T5">
        <v>0.6</v>
      </c>
      <c r="X5" t="s">
        <v>489</v>
      </c>
    </row>
    <row r="6" spans="1:24">
      <c r="A6" s="1">
        <v>34959</v>
      </c>
      <c r="B6">
        <v>47.49015</v>
      </c>
      <c r="C6">
        <v>-7.2109899999999998</v>
      </c>
      <c r="D6">
        <v>2.5</v>
      </c>
      <c r="E6">
        <f t="shared" si="1"/>
        <v>8.8000000000000005E-3</v>
      </c>
      <c r="F6">
        <f t="shared" si="2"/>
        <v>3.3E-3</v>
      </c>
      <c r="G6" t="str">
        <f t="shared" si="3"/>
        <v/>
      </c>
      <c r="H6">
        <v>8.8000000000000007</v>
      </c>
      <c r="I6">
        <v>3.3</v>
      </c>
      <c r="K6">
        <v>0.03</v>
      </c>
      <c r="M6">
        <v>0.19</v>
      </c>
      <c r="R6">
        <v>14.3</v>
      </c>
      <c r="T6">
        <v>3.3</v>
      </c>
      <c r="X6" t="s">
        <v>488</v>
      </c>
    </row>
    <row r="7" spans="1:24">
      <c r="A7" s="1">
        <v>34959</v>
      </c>
      <c r="B7">
        <v>47.49015</v>
      </c>
      <c r="C7">
        <v>-7.2109899999999998</v>
      </c>
      <c r="D7">
        <v>39.6</v>
      </c>
      <c r="E7">
        <f t="shared" si="1"/>
        <v>1.83E-2</v>
      </c>
      <c r="F7">
        <f t="shared" si="2"/>
        <v>1.1999999999999999E-3</v>
      </c>
      <c r="G7" t="str">
        <f t="shared" si="3"/>
        <v/>
      </c>
      <c r="H7">
        <v>18.3</v>
      </c>
      <c r="I7">
        <v>1.2</v>
      </c>
      <c r="K7">
        <v>7.0000000000000007E-2</v>
      </c>
      <c r="M7">
        <v>0.17</v>
      </c>
      <c r="R7">
        <v>23.1</v>
      </c>
      <c r="T7">
        <v>1.2</v>
      </c>
      <c r="X7" t="s">
        <v>514</v>
      </c>
    </row>
    <row r="8" spans="1:24">
      <c r="A8" s="1">
        <v>34966</v>
      </c>
      <c r="B8">
        <v>47.831519999999998</v>
      </c>
      <c r="C8">
        <v>-7.89459</v>
      </c>
      <c r="D8">
        <v>4</v>
      </c>
      <c r="E8">
        <f t="shared" si="1"/>
        <v>1.5699999999999999E-2</v>
      </c>
      <c r="F8">
        <f t="shared" si="2"/>
        <v>1.8E-3</v>
      </c>
      <c r="G8" t="str">
        <f t="shared" si="3"/>
        <v/>
      </c>
      <c r="H8">
        <v>15.7</v>
      </c>
      <c r="I8">
        <v>1.8</v>
      </c>
      <c r="R8">
        <v>2.1</v>
      </c>
      <c r="T8">
        <v>1.8</v>
      </c>
      <c r="X8" t="s">
        <v>490</v>
      </c>
    </row>
    <row r="9" spans="1:24">
      <c r="A9" s="1">
        <v>34966</v>
      </c>
      <c r="B9">
        <v>47.831519999999998</v>
      </c>
      <c r="C9">
        <v>-7.89459</v>
      </c>
      <c r="D9">
        <v>49.6</v>
      </c>
      <c r="E9">
        <f t="shared" si="1"/>
        <v>2.5000000000000001E-3</v>
      </c>
      <c r="F9">
        <f t="shared" si="2"/>
        <v>2.0000000000000001E-4</v>
      </c>
      <c r="G9" t="str">
        <f t="shared" si="3"/>
        <v/>
      </c>
      <c r="H9">
        <v>2.5</v>
      </c>
      <c r="I9">
        <v>0.2</v>
      </c>
      <c r="R9">
        <v>3.7</v>
      </c>
      <c r="T9">
        <v>0.2</v>
      </c>
      <c r="X9" t="s">
        <v>490</v>
      </c>
    </row>
    <row r="10" spans="1:24">
      <c r="A10" s="1">
        <v>34967</v>
      </c>
      <c r="B10">
        <v>47.793379999999999</v>
      </c>
      <c r="C10">
        <v>-8.0150799999999993</v>
      </c>
      <c r="D10">
        <v>3.9</v>
      </c>
      <c r="E10">
        <f t="shared" si="1"/>
        <v>1.14E-2</v>
      </c>
      <c r="F10">
        <f t="shared" si="2"/>
        <v>1.4E-3</v>
      </c>
      <c r="G10" t="str">
        <f t="shared" si="3"/>
        <v/>
      </c>
      <c r="H10">
        <v>11.4</v>
      </c>
      <c r="I10">
        <v>1.4</v>
      </c>
      <c r="R10">
        <v>1.6</v>
      </c>
      <c r="T10">
        <v>1.4</v>
      </c>
      <c r="X10" t="s">
        <v>490</v>
      </c>
    </row>
    <row r="11" spans="1:24">
      <c r="A11" s="1">
        <v>34967</v>
      </c>
      <c r="B11">
        <v>47.793379999999999</v>
      </c>
      <c r="C11">
        <v>-8.0150799999999993</v>
      </c>
      <c r="D11">
        <v>29.1</v>
      </c>
      <c r="E11">
        <f t="shared" si="1"/>
        <v>1.1300000000000001E-2</v>
      </c>
      <c r="F11">
        <f t="shared" si="2"/>
        <v>1E-4</v>
      </c>
      <c r="G11" t="str">
        <f t="shared" si="3"/>
        <v/>
      </c>
      <c r="H11">
        <v>11.3</v>
      </c>
      <c r="I11">
        <v>0.1</v>
      </c>
      <c r="R11">
        <v>1.5</v>
      </c>
      <c r="T11">
        <v>0.1</v>
      </c>
      <c r="X11" t="s">
        <v>490</v>
      </c>
    </row>
    <row r="12" spans="1:24">
      <c r="A12" s="1">
        <v>35361</v>
      </c>
      <c r="B12">
        <v>-76.5642</v>
      </c>
      <c r="C12">
        <v>169.09450000000001</v>
      </c>
      <c r="D12">
        <v>3</v>
      </c>
      <c r="E12">
        <f t="shared" si="1"/>
        <v>5.0000000000000004E-6</v>
      </c>
      <c r="F12">
        <f t="shared" si="2"/>
        <v>2.0000000000000002E-5</v>
      </c>
      <c r="G12">
        <f t="shared" si="3"/>
        <v>2.0999999999999998E-4</v>
      </c>
      <c r="H12">
        <v>5.0000000000000001E-3</v>
      </c>
      <c r="I12">
        <v>0.02</v>
      </c>
      <c r="J12">
        <v>0.21</v>
      </c>
      <c r="K12">
        <v>0.02</v>
      </c>
      <c r="M12">
        <v>0.09</v>
      </c>
      <c r="N12">
        <v>0.21</v>
      </c>
      <c r="R12">
        <v>6.3E-3</v>
      </c>
      <c r="T12">
        <v>0.02</v>
      </c>
      <c r="X12" t="s">
        <v>491</v>
      </c>
    </row>
    <row r="13" spans="1:24">
      <c r="A13" s="1">
        <v>35361</v>
      </c>
      <c r="B13">
        <v>-76.5642</v>
      </c>
      <c r="C13">
        <v>169.09450000000001</v>
      </c>
      <c r="D13">
        <v>11</v>
      </c>
      <c r="E13">
        <f t="shared" si="1"/>
        <v>1.4999999999999999E-5</v>
      </c>
      <c r="F13">
        <f t="shared" si="2"/>
        <v>1.4999999999999999E-5</v>
      </c>
      <c r="G13">
        <f t="shared" si="3"/>
        <v>2.7E-4</v>
      </c>
      <c r="H13">
        <v>1.4999999999999999E-2</v>
      </c>
      <c r="I13">
        <v>1.4999999999999999E-2</v>
      </c>
      <c r="J13">
        <v>0.27</v>
      </c>
      <c r="K13">
        <v>0.04</v>
      </c>
      <c r="M13">
        <v>0.05</v>
      </c>
      <c r="N13">
        <v>0.27</v>
      </c>
      <c r="R13">
        <v>4.0000000000000002E-4</v>
      </c>
      <c r="T13">
        <v>1.4999999999999999E-2</v>
      </c>
      <c r="X13" t="s">
        <v>491</v>
      </c>
    </row>
    <row r="14" spans="1:24">
      <c r="A14" s="1">
        <v>35361</v>
      </c>
      <c r="B14">
        <v>-76.5642</v>
      </c>
      <c r="C14">
        <v>169.09450000000001</v>
      </c>
      <c r="D14">
        <v>23</v>
      </c>
      <c r="E14">
        <f t="shared" si="1"/>
        <v>6.0000000000000002E-6</v>
      </c>
      <c r="F14">
        <f t="shared" si="2"/>
        <v>1.2E-5</v>
      </c>
      <c r="G14">
        <f t="shared" si="3"/>
        <v>3.2499999999999999E-4</v>
      </c>
      <c r="H14">
        <v>6.0000000000000001E-3</v>
      </c>
      <c r="I14">
        <v>1.2E-2</v>
      </c>
      <c r="J14">
        <v>0.32500000000000001</v>
      </c>
      <c r="K14">
        <v>0.03</v>
      </c>
      <c r="M14">
        <v>0.03</v>
      </c>
      <c r="N14">
        <v>0.32500000000000001</v>
      </c>
      <c r="R14">
        <v>4.0000000000000002E-4</v>
      </c>
      <c r="T14">
        <v>1.2E-2</v>
      </c>
      <c r="X14" t="s">
        <v>491</v>
      </c>
    </row>
    <row r="15" spans="1:24">
      <c r="A15" s="1">
        <v>35361</v>
      </c>
      <c r="B15">
        <v>-76.5642</v>
      </c>
      <c r="C15">
        <v>169.09450000000001</v>
      </c>
      <c r="D15">
        <v>31</v>
      </c>
      <c r="E15" t="str">
        <f t="shared" si="1"/>
        <v/>
      </c>
      <c r="F15">
        <f t="shared" si="2"/>
        <v>2.9E-5</v>
      </c>
      <c r="G15" t="str">
        <f t="shared" si="3"/>
        <v/>
      </c>
      <c r="I15">
        <v>2.9000000000000001E-2</v>
      </c>
      <c r="K15">
        <v>0.01</v>
      </c>
      <c r="M15">
        <v>0.11</v>
      </c>
      <c r="R15">
        <v>1.2999999999999999E-3</v>
      </c>
      <c r="T15">
        <v>2.9000000000000001E-2</v>
      </c>
      <c r="X15" t="s">
        <v>491</v>
      </c>
    </row>
    <row r="16" spans="1:24">
      <c r="A16" s="1">
        <v>35361</v>
      </c>
      <c r="B16">
        <v>-76.5642</v>
      </c>
      <c r="C16">
        <v>169.09450000000001</v>
      </c>
      <c r="D16">
        <v>38</v>
      </c>
      <c r="E16" t="str">
        <f t="shared" si="1"/>
        <v/>
      </c>
      <c r="F16">
        <f t="shared" si="2"/>
        <v>3.0000000000000001E-6</v>
      </c>
      <c r="G16" t="str">
        <f t="shared" si="3"/>
        <v/>
      </c>
      <c r="I16">
        <v>3.0000000000000001E-3</v>
      </c>
      <c r="K16">
        <v>0.03</v>
      </c>
      <c r="M16">
        <v>0.08</v>
      </c>
      <c r="R16">
        <v>1.17E-2</v>
      </c>
      <c r="T16">
        <v>3.0000000000000001E-3</v>
      </c>
      <c r="X16" t="s">
        <v>491</v>
      </c>
    </row>
    <row r="17" spans="1:24">
      <c r="A17" s="1">
        <v>35361</v>
      </c>
      <c r="B17">
        <v>-76.5642</v>
      </c>
      <c r="C17">
        <v>169.09450000000001</v>
      </c>
      <c r="D17">
        <v>49</v>
      </c>
      <c r="E17" t="str">
        <f t="shared" si="1"/>
        <v/>
      </c>
      <c r="F17">
        <f t="shared" si="2"/>
        <v>3.0000000000000001E-6</v>
      </c>
      <c r="G17">
        <f t="shared" si="3"/>
        <v>5.1999999999999997E-5</v>
      </c>
      <c r="I17">
        <v>3.0000000000000001E-3</v>
      </c>
      <c r="J17">
        <v>5.1999999999999998E-2</v>
      </c>
      <c r="K17">
        <v>0.01</v>
      </c>
      <c r="M17">
        <v>0.09</v>
      </c>
      <c r="N17">
        <v>5.1999999999999998E-2</v>
      </c>
      <c r="R17">
        <v>5.0000000000000001E-3</v>
      </c>
      <c r="T17">
        <v>3.0000000000000001E-3</v>
      </c>
      <c r="X17" t="s">
        <v>491</v>
      </c>
    </row>
    <row r="18" spans="1:24">
      <c r="A18" s="1">
        <v>35371</v>
      </c>
      <c r="B18">
        <v>-76.494299999999996</v>
      </c>
      <c r="C18">
        <v>-177.86199999999999</v>
      </c>
      <c r="D18">
        <v>2</v>
      </c>
      <c r="E18">
        <f t="shared" si="1"/>
        <v>3.97E-4</v>
      </c>
      <c r="F18">
        <f t="shared" si="2"/>
        <v>1.2899999999999999E-4</v>
      </c>
      <c r="G18">
        <f t="shared" si="3"/>
        <v>1.7179999999999999E-3</v>
      </c>
      <c r="H18">
        <v>0.39700000000000002</v>
      </c>
      <c r="I18">
        <v>0.129</v>
      </c>
      <c r="J18">
        <v>1.718</v>
      </c>
      <c r="K18">
        <v>0.02</v>
      </c>
      <c r="M18">
        <v>0.04</v>
      </c>
      <c r="N18">
        <v>1.718</v>
      </c>
      <c r="R18">
        <v>7.46E-2</v>
      </c>
      <c r="T18">
        <v>0.129</v>
      </c>
      <c r="X18" t="s">
        <v>492</v>
      </c>
    </row>
    <row r="19" spans="1:24">
      <c r="A19" s="1">
        <v>35371</v>
      </c>
      <c r="B19">
        <v>-76.494299999999996</v>
      </c>
      <c r="C19">
        <v>-177.86199999999999</v>
      </c>
      <c r="D19">
        <v>8</v>
      </c>
      <c r="E19">
        <f t="shared" si="1"/>
        <v>7.7900000000000007E-4</v>
      </c>
      <c r="F19">
        <f t="shared" si="2"/>
        <v>1.2799999999999999E-4</v>
      </c>
      <c r="G19">
        <f t="shared" si="3"/>
        <v>5.9519999999999998E-3</v>
      </c>
      <c r="H19">
        <v>0.77900000000000003</v>
      </c>
      <c r="I19">
        <v>0.128</v>
      </c>
      <c r="J19">
        <v>5.952</v>
      </c>
      <c r="K19">
        <v>0</v>
      </c>
      <c r="M19">
        <v>7.0000000000000007E-2</v>
      </c>
      <c r="N19">
        <v>5.952</v>
      </c>
      <c r="R19">
        <v>9.1700000000000004E-2</v>
      </c>
      <c r="T19">
        <v>0.128</v>
      </c>
      <c r="X19" t="s">
        <v>492</v>
      </c>
    </row>
    <row r="20" spans="1:24">
      <c r="A20" s="1">
        <v>35371</v>
      </c>
      <c r="B20">
        <v>-76.494299999999996</v>
      </c>
      <c r="C20">
        <v>-177.86199999999999</v>
      </c>
      <c r="D20">
        <v>17</v>
      </c>
      <c r="E20">
        <f t="shared" si="1"/>
        <v>6.6800000000000008E-4</v>
      </c>
      <c r="F20">
        <f t="shared" si="2"/>
        <v>1.6800000000000002E-4</v>
      </c>
      <c r="G20">
        <f t="shared" si="3"/>
        <v>7.4920000000000004E-3</v>
      </c>
      <c r="H20">
        <v>0.66800000000000004</v>
      </c>
      <c r="I20">
        <v>0.16800000000000001</v>
      </c>
      <c r="J20">
        <v>7.492</v>
      </c>
      <c r="K20">
        <v>0</v>
      </c>
      <c r="M20">
        <v>0.08</v>
      </c>
      <c r="N20">
        <v>7.492</v>
      </c>
      <c r="R20">
        <v>8.9200000000000002E-2</v>
      </c>
      <c r="T20">
        <v>0.16800000000000001</v>
      </c>
      <c r="X20" t="s">
        <v>492</v>
      </c>
    </row>
    <row r="21" spans="1:24">
      <c r="A21" s="1">
        <v>35371</v>
      </c>
      <c r="B21">
        <v>-76.494299999999996</v>
      </c>
      <c r="C21">
        <v>-177.86199999999999</v>
      </c>
      <c r="D21">
        <v>23</v>
      </c>
      <c r="E21">
        <f t="shared" si="1"/>
        <v>6.1399999999999996E-4</v>
      </c>
      <c r="F21">
        <f t="shared" si="2"/>
        <v>7.0999999999999991E-5</v>
      </c>
      <c r="G21">
        <f t="shared" si="3"/>
        <v>7.267E-3</v>
      </c>
      <c r="H21">
        <v>0.61399999999999999</v>
      </c>
      <c r="I21">
        <v>7.0999999999999994E-2</v>
      </c>
      <c r="J21">
        <v>7.2670000000000003</v>
      </c>
      <c r="K21">
        <v>0</v>
      </c>
      <c r="M21">
        <v>0.05</v>
      </c>
      <c r="N21">
        <v>7.2670000000000003</v>
      </c>
      <c r="R21">
        <v>7.4999999999999997E-2</v>
      </c>
      <c r="T21">
        <v>7.0999999999999994E-2</v>
      </c>
      <c r="X21" t="s">
        <v>492</v>
      </c>
    </row>
    <row r="22" spans="1:24">
      <c r="A22" s="1">
        <v>35371</v>
      </c>
      <c r="B22">
        <v>-76.494299999999996</v>
      </c>
      <c r="C22">
        <v>-177.86199999999999</v>
      </c>
      <c r="D22">
        <v>28</v>
      </c>
      <c r="E22">
        <f t="shared" si="1"/>
        <v>5.7299999999999994E-4</v>
      </c>
      <c r="F22">
        <f t="shared" si="2"/>
        <v>1.34E-4</v>
      </c>
      <c r="G22">
        <f t="shared" si="3"/>
        <v>6.7359999999999998E-3</v>
      </c>
      <c r="H22">
        <v>0.57299999999999995</v>
      </c>
      <c r="I22">
        <v>0.13400000000000001</v>
      </c>
      <c r="J22">
        <v>6.7359999999999998</v>
      </c>
      <c r="K22">
        <v>0</v>
      </c>
      <c r="M22">
        <v>0.06</v>
      </c>
      <c r="N22">
        <v>6.7359999999999998</v>
      </c>
      <c r="R22">
        <v>0.1075</v>
      </c>
      <c r="T22">
        <v>0.13400000000000001</v>
      </c>
      <c r="X22" t="s">
        <v>492</v>
      </c>
    </row>
    <row r="23" spans="1:24">
      <c r="A23" s="1">
        <v>35371</v>
      </c>
      <c r="B23">
        <v>-76.494299999999996</v>
      </c>
      <c r="C23">
        <v>-177.86199999999999</v>
      </c>
      <c r="D23">
        <v>36</v>
      </c>
      <c r="E23">
        <f t="shared" si="1"/>
        <v>6.7700000000000008E-4</v>
      </c>
      <c r="F23">
        <f t="shared" si="2"/>
        <v>1.3700000000000002E-4</v>
      </c>
      <c r="G23">
        <f t="shared" si="3"/>
        <v>4.7549999999999997E-3</v>
      </c>
      <c r="H23">
        <v>0.67700000000000005</v>
      </c>
      <c r="I23">
        <v>0.13700000000000001</v>
      </c>
      <c r="J23">
        <v>4.7549999999999999</v>
      </c>
      <c r="K23">
        <v>0.01</v>
      </c>
      <c r="M23">
        <v>7.0000000000000007E-2</v>
      </c>
      <c r="N23">
        <v>4.7549999999999999</v>
      </c>
      <c r="R23">
        <v>0.1242</v>
      </c>
      <c r="T23">
        <v>0.13700000000000001</v>
      </c>
      <c r="X23" t="s">
        <v>492</v>
      </c>
    </row>
    <row r="24" spans="1:24">
      <c r="A24" s="1">
        <v>35371</v>
      </c>
      <c r="B24">
        <v>-76.494299999999996</v>
      </c>
      <c r="C24">
        <v>-177.86199999999999</v>
      </c>
      <c r="D24">
        <v>56</v>
      </c>
      <c r="E24">
        <f t="shared" si="1"/>
        <v>4.4999999999999999E-4</v>
      </c>
      <c r="F24">
        <f t="shared" si="2"/>
        <v>1.3700000000000002E-4</v>
      </c>
      <c r="G24">
        <f t="shared" si="3"/>
        <v>2.2000000000000001E-3</v>
      </c>
      <c r="H24">
        <v>0.45</v>
      </c>
      <c r="I24">
        <v>0.13700000000000001</v>
      </c>
      <c r="J24">
        <v>2.2000000000000002</v>
      </c>
      <c r="K24">
        <v>0</v>
      </c>
      <c r="M24">
        <v>0.08</v>
      </c>
      <c r="N24">
        <v>2.2000000000000002</v>
      </c>
      <c r="R24">
        <v>0.25419999999999998</v>
      </c>
      <c r="T24">
        <v>0.13700000000000001</v>
      </c>
      <c r="X24" t="s">
        <v>492</v>
      </c>
    </row>
    <row r="25" spans="1:24">
      <c r="A25" s="1">
        <v>35443</v>
      </c>
      <c r="B25">
        <v>-76.515299999999996</v>
      </c>
      <c r="C25">
        <v>168.9581</v>
      </c>
      <c r="D25">
        <v>3</v>
      </c>
      <c r="E25">
        <f t="shared" si="1"/>
        <v>3.9909999999999998E-3</v>
      </c>
      <c r="F25">
        <f t="shared" si="2"/>
        <v>2.098E-3</v>
      </c>
      <c r="G25">
        <f t="shared" si="3"/>
        <v>1.3618999999999999E-2</v>
      </c>
      <c r="H25">
        <v>3.9910000000000001</v>
      </c>
      <c r="I25">
        <v>2.0979999999999999</v>
      </c>
      <c r="J25">
        <v>13.619</v>
      </c>
      <c r="K25">
        <v>0.18</v>
      </c>
      <c r="M25">
        <v>0.18</v>
      </c>
      <c r="N25">
        <v>13.619</v>
      </c>
      <c r="R25">
        <v>0.1004</v>
      </c>
      <c r="T25">
        <v>2.0979999999999999</v>
      </c>
      <c r="X25" t="s">
        <v>493</v>
      </c>
    </row>
    <row r="26" spans="1:24">
      <c r="A26" s="1">
        <v>35443</v>
      </c>
      <c r="B26">
        <v>-76.515299999999996</v>
      </c>
      <c r="C26">
        <v>168.9581</v>
      </c>
      <c r="D26">
        <v>7</v>
      </c>
      <c r="E26">
        <f t="shared" si="1"/>
        <v>6.4080000000000005E-3</v>
      </c>
      <c r="F26">
        <f t="shared" si="2"/>
        <v>2.2850000000000001E-3</v>
      </c>
      <c r="G26">
        <f t="shared" si="3"/>
        <v>2.7681000000000001E-2</v>
      </c>
      <c r="H26">
        <v>6.4080000000000004</v>
      </c>
      <c r="I26">
        <v>2.2850000000000001</v>
      </c>
      <c r="J26">
        <v>27.681000000000001</v>
      </c>
      <c r="K26">
        <v>0.21</v>
      </c>
      <c r="M26">
        <v>0.16</v>
      </c>
      <c r="N26">
        <v>27.681000000000001</v>
      </c>
      <c r="R26">
        <v>8.6300000000000002E-2</v>
      </c>
      <c r="T26">
        <v>2.2850000000000001</v>
      </c>
      <c r="X26" t="s">
        <v>493</v>
      </c>
    </row>
    <row r="27" spans="1:24">
      <c r="A27" s="1">
        <v>35443</v>
      </c>
      <c r="B27">
        <v>-76.515299999999996</v>
      </c>
      <c r="C27">
        <v>168.9581</v>
      </c>
      <c r="D27">
        <v>14</v>
      </c>
      <c r="E27">
        <f t="shared" si="1"/>
        <v>6.3699999999999998E-3</v>
      </c>
      <c r="F27">
        <f t="shared" si="2"/>
        <v>2.16E-3</v>
      </c>
      <c r="G27">
        <f t="shared" si="3"/>
        <v>3.1889000000000001E-2</v>
      </c>
      <c r="H27">
        <v>6.37</v>
      </c>
      <c r="I27">
        <v>2.16</v>
      </c>
      <c r="J27">
        <v>31.888999999999999</v>
      </c>
      <c r="K27">
        <v>0.19</v>
      </c>
      <c r="M27">
        <v>0.12</v>
      </c>
      <c r="N27">
        <v>31.888999999999999</v>
      </c>
      <c r="R27">
        <v>0.1133</v>
      </c>
      <c r="T27">
        <v>2.16</v>
      </c>
      <c r="X27" t="s">
        <v>493</v>
      </c>
    </row>
    <row r="28" spans="1:24">
      <c r="A28" s="1">
        <v>35443</v>
      </c>
      <c r="B28">
        <v>-76.515299999999996</v>
      </c>
      <c r="C28">
        <v>168.9581</v>
      </c>
      <c r="D28">
        <v>23</v>
      </c>
      <c r="E28">
        <f t="shared" si="1"/>
        <v>4.9779999999999998E-3</v>
      </c>
      <c r="F28">
        <f t="shared" si="2"/>
        <v>1.6200000000000001E-3</v>
      </c>
      <c r="G28">
        <f t="shared" si="3"/>
        <v>2.3123000000000001E-2</v>
      </c>
      <c r="H28">
        <v>4.9779999999999998</v>
      </c>
      <c r="I28">
        <v>1.62</v>
      </c>
      <c r="J28">
        <v>23.123000000000001</v>
      </c>
      <c r="K28">
        <v>0.17</v>
      </c>
      <c r="M28">
        <v>0.05</v>
      </c>
      <c r="N28">
        <v>23.123000000000001</v>
      </c>
      <c r="R28">
        <v>0.12039999999999999</v>
      </c>
      <c r="T28">
        <v>1.62</v>
      </c>
      <c r="X28" t="s">
        <v>493</v>
      </c>
    </row>
    <row r="29" spans="1:24">
      <c r="A29" s="1">
        <v>35443</v>
      </c>
      <c r="B29">
        <v>-76.515299999999996</v>
      </c>
      <c r="C29">
        <v>168.9581</v>
      </c>
      <c r="D29">
        <v>30</v>
      </c>
      <c r="E29">
        <f t="shared" si="1"/>
        <v>1.4497999999999999E-2</v>
      </c>
      <c r="F29">
        <f t="shared" si="2"/>
        <v>1.315E-3</v>
      </c>
      <c r="G29">
        <f t="shared" si="3"/>
        <v>8.2230000000000011E-3</v>
      </c>
      <c r="H29">
        <v>14.497999999999999</v>
      </c>
      <c r="I29">
        <v>1.3149999999999999</v>
      </c>
      <c r="J29">
        <v>8.2230000000000008</v>
      </c>
      <c r="K29">
        <v>0.45</v>
      </c>
      <c r="M29">
        <v>0.08</v>
      </c>
      <c r="N29">
        <v>8.2230000000000008</v>
      </c>
      <c r="R29">
        <v>5.96E-2</v>
      </c>
      <c r="T29">
        <v>1.3149999999999999</v>
      </c>
      <c r="X29" t="s">
        <v>493</v>
      </c>
    </row>
    <row r="30" spans="1:24">
      <c r="A30" s="1">
        <v>35443</v>
      </c>
      <c r="B30">
        <v>-76.515299999999996</v>
      </c>
      <c r="C30">
        <v>168.9581</v>
      </c>
      <c r="D30">
        <v>47</v>
      </c>
      <c r="E30">
        <f t="shared" si="1"/>
        <v>1.2446E-2</v>
      </c>
      <c r="F30">
        <f t="shared" si="2"/>
        <v>1.4530000000000001E-3</v>
      </c>
      <c r="G30">
        <f t="shared" si="3"/>
        <v>4.463E-3</v>
      </c>
      <c r="H30">
        <v>12.446</v>
      </c>
      <c r="I30">
        <v>1.4530000000000001</v>
      </c>
      <c r="J30">
        <v>4.4630000000000001</v>
      </c>
      <c r="K30">
        <v>1.67</v>
      </c>
      <c r="M30">
        <v>0.43</v>
      </c>
      <c r="N30">
        <v>4.4630000000000001</v>
      </c>
      <c r="R30">
        <v>6.6299999999999998E-2</v>
      </c>
      <c r="T30">
        <v>1.4530000000000001</v>
      </c>
      <c r="X30" t="s">
        <v>493</v>
      </c>
    </row>
    <row r="31" spans="1:24">
      <c r="A31" s="1">
        <v>35447</v>
      </c>
      <c r="B31">
        <v>-76.492699999999999</v>
      </c>
      <c r="C31">
        <v>176.99019999999999</v>
      </c>
      <c r="D31">
        <v>10</v>
      </c>
      <c r="E31">
        <f t="shared" si="1"/>
        <v>2.3479999999999998E-3</v>
      </c>
      <c r="F31">
        <f t="shared" si="2"/>
        <v>2.689E-3</v>
      </c>
      <c r="G31">
        <f t="shared" si="3"/>
        <v>1.5245E-2</v>
      </c>
      <c r="H31">
        <v>2.3479999999999999</v>
      </c>
      <c r="I31">
        <v>2.6890000000000001</v>
      </c>
      <c r="J31">
        <v>15.244999999999999</v>
      </c>
      <c r="K31">
        <v>0.08</v>
      </c>
      <c r="M31">
        <v>0.11</v>
      </c>
      <c r="N31">
        <v>15.244999999999999</v>
      </c>
      <c r="T31">
        <v>2.6890000000000001</v>
      </c>
      <c r="X31" t="s">
        <v>494</v>
      </c>
    </row>
    <row r="32" spans="1:24">
      <c r="A32" s="1">
        <v>35447</v>
      </c>
      <c r="B32">
        <v>-76.492699999999999</v>
      </c>
      <c r="C32">
        <v>176.99019999999999</v>
      </c>
      <c r="D32">
        <v>13</v>
      </c>
      <c r="E32">
        <f t="shared" si="1"/>
        <v>2.7000000000000001E-3</v>
      </c>
      <c r="F32">
        <f t="shared" si="2"/>
        <v>2.99E-3</v>
      </c>
      <c r="G32">
        <f t="shared" si="3"/>
        <v>2.3153E-2</v>
      </c>
      <c r="H32">
        <v>2.7</v>
      </c>
      <c r="I32">
        <v>2.99</v>
      </c>
      <c r="J32">
        <v>23.152999999999999</v>
      </c>
      <c r="K32">
        <v>0.1</v>
      </c>
      <c r="M32">
        <v>0.13</v>
      </c>
      <c r="N32">
        <v>23.152999999999999</v>
      </c>
      <c r="T32">
        <v>2.99</v>
      </c>
      <c r="X32" t="s">
        <v>494</v>
      </c>
    </row>
    <row r="33" spans="1:24">
      <c r="A33" s="1">
        <v>35447</v>
      </c>
      <c r="B33">
        <v>-76.492699999999999</v>
      </c>
      <c r="C33">
        <v>176.99019999999999</v>
      </c>
      <c r="D33">
        <v>20</v>
      </c>
      <c r="E33">
        <f t="shared" si="1"/>
        <v>2.823E-3</v>
      </c>
      <c r="F33">
        <f t="shared" si="2"/>
        <v>1.7700000000000001E-3</v>
      </c>
      <c r="G33">
        <f t="shared" si="3"/>
        <v>1.967E-3</v>
      </c>
      <c r="H33">
        <v>2.823</v>
      </c>
      <c r="I33">
        <v>1.77</v>
      </c>
      <c r="J33">
        <v>1.9670000000000001</v>
      </c>
      <c r="K33">
        <v>0.17</v>
      </c>
      <c r="M33">
        <v>0.12</v>
      </c>
      <c r="N33">
        <v>1.9670000000000001</v>
      </c>
      <c r="T33">
        <v>1.77</v>
      </c>
      <c r="X33" t="s">
        <v>494</v>
      </c>
    </row>
    <row r="34" spans="1:24">
      <c r="A34" s="1">
        <v>35447</v>
      </c>
      <c r="B34">
        <v>-76.498900000000006</v>
      </c>
      <c r="C34">
        <v>175.99090000000001</v>
      </c>
      <c r="D34">
        <v>2</v>
      </c>
      <c r="E34">
        <f t="shared" si="1"/>
        <v>2.5330000000000001E-3</v>
      </c>
      <c r="F34">
        <f t="shared" si="2"/>
        <v>1.0369999999999999E-3</v>
      </c>
      <c r="G34">
        <f t="shared" si="3"/>
        <v>1.8620000000000002E-3</v>
      </c>
      <c r="H34">
        <v>2.5329999999999999</v>
      </c>
      <c r="I34">
        <v>1.0369999999999999</v>
      </c>
      <c r="J34">
        <v>1.8620000000000001</v>
      </c>
      <c r="K34">
        <v>0.09</v>
      </c>
      <c r="M34">
        <v>0.09</v>
      </c>
      <c r="N34">
        <v>1.8620000000000001</v>
      </c>
      <c r="T34">
        <v>1.0369999999999999</v>
      </c>
      <c r="X34" t="s">
        <v>495</v>
      </c>
    </row>
    <row r="35" spans="1:24">
      <c r="A35" s="1">
        <v>35447</v>
      </c>
      <c r="B35">
        <v>-76.498900000000006</v>
      </c>
      <c r="C35">
        <v>175.99090000000001</v>
      </c>
      <c r="D35">
        <v>3</v>
      </c>
      <c r="E35">
        <f t="shared" si="1"/>
        <v>2.9100000000000003E-3</v>
      </c>
      <c r="F35">
        <f t="shared" si="2"/>
        <v>2.8999999999999998E-3</v>
      </c>
      <c r="G35">
        <f t="shared" si="3"/>
        <v>8.7230000000000016E-3</v>
      </c>
      <c r="H35">
        <v>2.91</v>
      </c>
      <c r="I35">
        <v>2.9</v>
      </c>
      <c r="J35">
        <v>8.7230000000000008</v>
      </c>
      <c r="K35">
        <v>0.1</v>
      </c>
      <c r="M35">
        <v>0.1</v>
      </c>
      <c r="N35">
        <v>8.7230000000000008</v>
      </c>
      <c r="T35">
        <v>2.9</v>
      </c>
      <c r="X35" t="s">
        <v>495</v>
      </c>
    </row>
    <row r="36" spans="1:24">
      <c r="A36" s="1">
        <v>35447</v>
      </c>
      <c r="B36">
        <v>-76.498900000000006</v>
      </c>
      <c r="C36">
        <v>175.99090000000001</v>
      </c>
      <c r="D36">
        <v>6</v>
      </c>
      <c r="E36">
        <f t="shared" si="1"/>
        <v>3.287E-3</v>
      </c>
      <c r="F36">
        <f t="shared" si="2"/>
        <v>3.3140000000000001E-3</v>
      </c>
      <c r="G36">
        <f t="shared" si="3"/>
        <v>1.2385999999999999E-2</v>
      </c>
      <c r="H36">
        <v>3.2869999999999999</v>
      </c>
      <c r="I36">
        <v>3.3140000000000001</v>
      </c>
      <c r="J36">
        <v>12.385999999999999</v>
      </c>
      <c r="K36">
        <v>0.1</v>
      </c>
      <c r="M36">
        <v>0.13</v>
      </c>
      <c r="N36">
        <v>12.385999999999999</v>
      </c>
      <c r="T36">
        <v>3.3140000000000001</v>
      </c>
      <c r="X36" t="s">
        <v>495</v>
      </c>
    </row>
    <row r="37" spans="1:24">
      <c r="A37" s="1">
        <v>35453</v>
      </c>
      <c r="B37">
        <v>-76.494</v>
      </c>
      <c r="C37">
        <v>175.994</v>
      </c>
      <c r="D37">
        <v>2</v>
      </c>
      <c r="E37">
        <f t="shared" si="1"/>
        <v>9.9010000000000001E-3</v>
      </c>
      <c r="F37">
        <f t="shared" si="2"/>
        <v>5.803E-3</v>
      </c>
      <c r="G37">
        <f t="shared" si="3"/>
        <v>1.4839999999999999E-2</v>
      </c>
      <c r="H37">
        <v>9.9009999999999998</v>
      </c>
      <c r="I37">
        <v>5.8029999999999999</v>
      </c>
      <c r="J37">
        <v>14.84</v>
      </c>
      <c r="K37">
        <v>0.02</v>
      </c>
      <c r="M37">
        <v>0.03</v>
      </c>
      <c r="N37">
        <v>14.84</v>
      </c>
      <c r="R37">
        <v>1.1941999999999999</v>
      </c>
      <c r="T37">
        <v>5.8029999999999999</v>
      </c>
      <c r="X37" t="s">
        <v>496</v>
      </c>
    </row>
    <row r="38" spans="1:24">
      <c r="A38" s="1">
        <v>35453</v>
      </c>
      <c r="B38">
        <v>-76.494</v>
      </c>
      <c r="C38">
        <v>175.994</v>
      </c>
      <c r="D38">
        <v>3</v>
      </c>
      <c r="E38">
        <f t="shared" si="1"/>
        <v>9.9319999999999999E-3</v>
      </c>
      <c r="F38">
        <f t="shared" si="2"/>
        <v>3.82E-3</v>
      </c>
      <c r="G38">
        <f t="shared" si="3"/>
        <v>8.7739999999999988E-3</v>
      </c>
      <c r="H38">
        <v>9.9320000000000004</v>
      </c>
      <c r="I38">
        <v>3.82</v>
      </c>
      <c r="J38">
        <v>8.7739999999999991</v>
      </c>
      <c r="K38">
        <v>0.03</v>
      </c>
      <c r="M38">
        <v>0.14000000000000001</v>
      </c>
      <c r="N38">
        <v>8.7739999999999991</v>
      </c>
      <c r="T38">
        <v>3.82</v>
      </c>
      <c r="X38" t="s">
        <v>496</v>
      </c>
    </row>
    <row r="39" spans="1:24">
      <c r="A39" s="1">
        <v>35453</v>
      </c>
      <c r="B39">
        <v>-76.494</v>
      </c>
      <c r="C39">
        <v>175.994</v>
      </c>
      <c r="D39">
        <v>6</v>
      </c>
      <c r="E39">
        <f t="shared" si="1"/>
        <v>9.1519999999999987E-3</v>
      </c>
      <c r="F39">
        <f t="shared" si="2"/>
        <v>7.1650000000000004E-3</v>
      </c>
      <c r="G39">
        <f t="shared" si="3"/>
        <v>1.7211999999999998E-2</v>
      </c>
      <c r="H39">
        <v>9.1519999999999992</v>
      </c>
      <c r="I39">
        <v>7.165</v>
      </c>
      <c r="J39">
        <v>17.212</v>
      </c>
      <c r="K39">
        <v>0.04</v>
      </c>
      <c r="M39">
        <v>0.12</v>
      </c>
      <c r="N39">
        <v>17.212</v>
      </c>
      <c r="R39">
        <v>0.83750000000000002</v>
      </c>
      <c r="T39">
        <v>7.165</v>
      </c>
      <c r="X39" t="s">
        <v>496</v>
      </c>
    </row>
    <row r="40" spans="1:24">
      <c r="A40" s="1">
        <v>35457</v>
      </c>
      <c r="B40">
        <v>-76.499200000000002</v>
      </c>
      <c r="C40">
        <v>168.9862</v>
      </c>
      <c r="D40">
        <v>2</v>
      </c>
      <c r="E40">
        <f t="shared" si="1"/>
        <v>2.1299999999999999E-3</v>
      </c>
      <c r="F40">
        <f t="shared" si="2"/>
        <v>1.678E-3</v>
      </c>
      <c r="G40">
        <f t="shared" si="3"/>
        <v>3.209E-3</v>
      </c>
      <c r="H40">
        <v>2.13</v>
      </c>
      <c r="I40">
        <v>1.6779999999999999</v>
      </c>
      <c r="J40">
        <v>3.2090000000000001</v>
      </c>
      <c r="K40">
        <v>0.1</v>
      </c>
      <c r="M40">
        <v>0.11</v>
      </c>
      <c r="N40">
        <v>3.2090000000000001</v>
      </c>
      <c r="T40">
        <v>1.6779999999999999</v>
      </c>
      <c r="X40" t="s">
        <v>497</v>
      </c>
    </row>
    <row r="41" spans="1:24">
      <c r="A41" s="1">
        <v>35457</v>
      </c>
      <c r="B41">
        <v>-76.499200000000002</v>
      </c>
      <c r="C41">
        <v>168.9862</v>
      </c>
      <c r="D41">
        <v>5</v>
      </c>
      <c r="E41">
        <f t="shared" si="1"/>
        <v>2.0330000000000001E-3</v>
      </c>
      <c r="F41">
        <f t="shared" si="2"/>
        <v>1.0869999999999999E-3</v>
      </c>
      <c r="G41">
        <f t="shared" si="3"/>
        <v>6.1500000000000001E-3</v>
      </c>
      <c r="H41">
        <v>2.0329999999999999</v>
      </c>
      <c r="I41">
        <v>1.087</v>
      </c>
      <c r="J41">
        <v>6.15</v>
      </c>
      <c r="K41">
        <v>0.08</v>
      </c>
      <c r="M41">
        <v>0.08</v>
      </c>
      <c r="N41">
        <v>6.15</v>
      </c>
      <c r="T41">
        <v>1.087</v>
      </c>
      <c r="X41" t="s">
        <v>497</v>
      </c>
    </row>
    <row r="42" spans="1:24">
      <c r="A42" s="1">
        <v>35457</v>
      </c>
      <c r="B42">
        <v>-76.499200000000002</v>
      </c>
      <c r="C42">
        <v>168.9862</v>
      </c>
      <c r="D42">
        <v>10</v>
      </c>
      <c r="E42">
        <f t="shared" si="1"/>
        <v>2.1779999999999998E-3</v>
      </c>
      <c r="F42">
        <f t="shared" si="2"/>
        <v>3.1129999999999999E-3</v>
      </c>
      <c r="G42">
        <f t="shared" si="3"/>
        <v>5.2529999999999999E-3</v>
      </c>
      <c r="H42">
        <v>2.1779999999999999</v>
      </c>
      <c r="I42">
        <v>3.113</v>
      </c>
      <c r="J42">
        <v>5.2530000000000001</v>
      </c>
      <c r="K42">
        <v>0.12</v>
      </c>
      <c r="M42">
        <v>0.4</v>
      </c>
      <c r="N42">
        <v>5.2530000000000001</v>
      </c>
      <c r="T42">
        <v>3.113</v>
      </c>
      <c r="X42" t="s">
        <v>497</v>
      </c>
    </row>
    <row r="43" spans="1:24">
      <c r="A43" s="1">
        <v>35457</v>
      </c>
      <c r="B43">
        <v>-76.498800000000003</v>
      </c>
      <c r="C43">
        <v>168.98140000000001</v>
      </c>
      <c r="D43">
        <v>17</v>
      </c>
      <c r="E43">
        <f t="shared" si="1"/>
        <v>1.506E-3</v>
      </c>
      <c r="F43">
        <f t="shared" si="2"/>
        <v>7.9000000000000001E-4</v>
      </c>
      <c r="G43">
        <f t="shared" si="3"/>
        <v>1.5100000000000001E-3</v>
      </c>
      <c r="H43">
        <v>1.506</v>
      </c>
      <c r="I43">
        <v>0.79</v>
      </c>
      <c r="J43">
        <v>1.51</v>
      </c>
      <c r="K43">
        <v>0.18</v>
      </c>
      <c r="M43">
        <v>0.08</v>
      </c>
      <c r="N43">
        <v>1.51</v>
      </c>
      <c r="T43">
        <v>0.79</v>
      </c>
      <c r="X43" t="s">
        <v>498</v>
      </c>
    </row>
    <row r="44" spans="1:24">
      <c r="A44" s="1">
        <v>35457</v>
      </c>
      <c r="B44">
        <v>-76.498800000000003</v>
      </c>
      <c r="C44">
        <v>168.98140000000001</v>
      </c>
      <c r="D44">
        <v>22</v>
      </c>
      <c r="E44">
        <f t="shared" si="1"/>
        <v>1.5889999999999999E-3</v>
      </c>
      <c r="F44">
        <f t="shared" si="2"/>
        <v>9.5E-4</v>
      </c>
      <c r="G44">
        <f t="shared" si="3"/>
        <v>1.5789999999999999E-3</v>
      </c>
      <c r="H44">
        <v>1.589</v>
      </c>
      <c r="I44">
        <v>0.95</v>
      </c>
      <c r="J44">
        <v>1.579</v>
      </c>
      <c r="K44">
        <v>0.17</v>
      </c>
      <c r="M44">
        <v>0.11</v>
      </c>
      <c r="N44">
        <v>1.579</v>
      </c>
      <c r="T44">
        <v>0.95</v>
      </c>
      <c r="X44" t="s">
        <v>498</v>
      </c>
    </row>
    <row r="45" spans="1:24">
      <c r="A45" s="1">
        <v>35457</v>
      </c>
      <c r="B45">
        <v>-76.498800000000003</v>
      </c>
      <c r="C45">
        <v>168.98140000000001</v>
      </c>
      <c r="D45">
        <v>34</v>
      </c>
      <c r="E45">
        <f t="shared" si="1"/>
        <v>9.1E-4</v>
      </c>
      <c r="F45">
        <f t="shared" si="2"/>
        <v>2.9799999999999998E-4</v>
      </c>
      <c r="G45">
        <f t="shared" si="3"/>
        <v>2.3E-5</v>
      </c>
      <c r="H45">
        <v>0.91</v>
      </c>
      <c r="I45">
        <v>0.29799999999999999</v>
      </c>
      <c r="J45">
        <v>2.3E-2</v>
      </c>
      <c r="K45">
        <v>0.24</v>
      </c>
      <c r="M45">
        <v>0.13</v>
      </c>
      <c r="N45">
        <v>2.3E-2</v>
      </c>
      <c r="T45">
        <v>0.29799999999999999</v>
      </c>
      <c r="X45" t="s">
        <v>498</v>
      </c>
    </row>
    <row r="46" spans="1:24">
      <c r="A46" s="1">
        <v>35532</v>
      </c>
      <c r="B46">
        <v>-73.972399999999993</v>
      </c>
      <c r="C46">
        <v>175.89500000000001</v>
      </c>
      <c r="D46">
        <v>49</v>
      </c>
      <c r="E46">
        <f t="shared" si="1"/>
        <v>1.2300000000000001E-4</v>
      </c>
      <c r="F46">
        <f t="shared" si="2"/>
        <v>2.3E-5</v>
      </c>
      <c r="G46" t="str">
        <f t="shared" si="3"/>
        <v/>
      </c>
      <c r="H46">
        <v>0.123</v>
      </c>
      <c r="I46">
        <v>2.3E-2</v>
      </c>
      <c r="R46">
        <v>0</v>
      </c>
      <c r="T46">
        <v>2.3E-2</v>
      </c>
      <c r="X46" t="s">
        <v>499</v>
      </c>
    </row>
    <row r="47" spans="1:24">
      <c r="A47" s="1">
        <v>35532</v>
      </c>
      <c r="B47">
        <v>-73.972399999999993</v>
      </c>
      <c r="C47">
        <v>175.89500000000001</v>
      </c>
      <c r="D47">
        <v>64</v>
      </c>
      <c r="E47">
        <f t="shared" si="1"/>
        <v>2.0699999999999999E-4</v>
      </c>
      <c r="F47">
        <f t="shared" si="2"/>
        <v>6.0000000000000002E-6</v>
      </c>
      <c r="G47" t="str">
        <f t="shared" si="3"/>
        <v/>
      </c>
      <c r="H47">
        <v>0.20699999999999999</v>
      </c>
      <c r="I47">
        <v>6.0000000000000001E-3</v>
      </c>
      <c r="R47">
        <v>0</v>
      </c>
      <c r="T47">
        <v>6.0000000000000001E-3</v>
      </c>
      <c r="X47" t="s">
        <v>499</v>
      </c>
    </row>
    <row r="48" spans="1:24">
      <c r="A48" s="1">
        <v>35532</v>
      </c>
      <c r="B48">
        <v>-73.972399999999993</v>
      </c>
      <c r="C48">
        <v>175.89500000000001</v>
      </c>
      <c r="D48">
        <v>99</v>
      </c>
      <c r="E48">
        <f t="shared" si="1"/>
        <v>9.1000000000000003E-5</v>
      </c>
      <c r="F48">
        <f t="shared" si="2"/>
        <v>3.0000000000000001E-6</v>
      </c>
      <c r="G48" t="str">
        <f t="shared" si="3"/>
        <v/>
      </c>
      <c r="H48">
        <v>9.0999999999999998E-2</v>
      </c>
      <c r="I48">
        <v>3.0000000000000001E-3</v>
      </c>
      <c r="R48">
        <v>1.67E-2</v>
      </c>
      <c r="T48">
        <v>3.0000000000000001E-3</v>
      </c>
      <c r="X48" t="s">
        <v>499</v>
      </c>
    </row>
    <row r="49" spans="1:24">
      <c r="A49" s="1">
        <v>35532</v>
      </c>
      <c r="B49">
        <v>-73.962900000000005</v>
      </c>
      <c r="C49">
        <v>175.78870000000001</v>
      </c>
      <c r="D49">
        <v>3</v>
      </c>
      <c r="E49">
        <f t="shared" si="1"/>
        <v>7.7000000000000001E-5</v>
      </c>
      <c r="F49">
        <f t="shared" si="2"/>
        <v>1.9999999999999999E-6</v>
      </c>
      <c r="G49" t="str">
        <f t="shared" si="3"/>
        <v/>
      </c>
      <c r="H49">
        <v>7.6999999999999999E-2</v>
      </c>
      <c r="I49">
        <v>2E-3</v>
      </c>
      <c r="R49">
        <v>7.4999999999999997E-3</v>
      </c>
      <c r="T49">
        <v>2E-3</v>
      </c>
      <c r="X49" t="s">
        <v>500</v>
      </c>
    </row>
    <row r="50" spans="1:24">
      <c r="A50" s="1">
        <v>35532</v>
      </c>
      <c r="B50">
        <v>-73.962900000000005</v>
      </c>
      <c r="C50">
        <v>175.78870000000001</v>
      </c>
      <c r="D50">
        <v>15</v>
      </c>
      <c r="E50">
        <f t="shared" si="1"/>
        <v>1.4999999999999999E-4</v>
      </c>
      <c r="F50">
        <f t="shared" si="2"/>
        <v>1.0000000000000001E-5</v>
      </c>
      <c r="G50" t="str">
        <f t="shared" si="3"/>
        <v/>
      </c>
      <c r="H50">
        <v>0.15</v>
      </c>
      <c r="I50">
        <v>0.01</v>
      </c>
      <c r="R50">
        <v>8.3000000000000001E-3</v>
      </c>
      <c r="T50">
        <v>0.01</v>
      </c>
      <c r="X50" t="s">
        <v>500</v>
      </c>
    </row>
    <row r="51" spans="1:24">
      <c r="A51" s="1">
        <v>35532</v>
      </c>
      <c r="B51">
        <v>-73.962900000000005</v>
      </c>
      <c r="C51">
        <v>175.78870000000001</v>
      </c>
      <c r="D51">
        <v>30</v>
      </c>
      <c r="E51">
        <f t="shared" si="1"/>
        <v>1.5699999999999999E-4</v>
      </c>
      <c r="F51">
        <f t="shared" si="2"/>
        <v>1.4E-5</v>
      </c>
      <c r="G51" t="str">
        <f t="shared" si="3"/>
        <v/>
      </c>
      <c r="H51">
        <v>0.157</v>
      </c>
      <c r="I51">
        <v>1.4E-2</v>
      </c>
      <c r="R51">
        <v>6.7000000000000002E-3</v>
      </c>
      <c r="T51">
        <v>1.4E-2</v>
      </c>
      <c r="X51" t="s">
        <v>500</v>
      </c>
    </row>
    <row r="52" spans="1:24">
      <c r="A52" s="1">
        <v>35534</v>
      </c>
      <c r="B52">
        <v>-76.413399999999996</v>
      </c>
      <c r="C52">
        <v>-177.95869999999999</v>
      </c>
      <c r="D52">
        <v>3</v>
      </c>
      <c r="E52">
        <f t="shared" si="1"/>
        <v>4.4999999999999996E-5</v>
      </c>
      <c r="F52">
        <f t="shared" si="2"/>
        <v>4.8000000000000001E-5</v>
      </c>
      <c r="G52">
        <f t="shared" si="3"/>
        <v>4.5800000000000002E-4</v>
      </c>
      <c r="H52">
        <v>4.4999999999999998E-2</v>
      </c>
      <c r="I52">
        <v>4.8000000000000001E-2</v>
      </c>
      <c r="J52">
        <v>0.45800000000000002</v>
      </c>
      <c r="N52">
        <v>0.45800000000000002</v>
      </c>
      <c r="R52">
        <v>1.46E-2</v>
      </c>
      <c r="T52">
        <v>4.8000000000000001E-2</v>
      </c>
      <c r="X52" t="s">
        <v>502</v>
      </c>
    </row>
    <row r="53" spans="1:24">
      <c r="A53" s="1">
        <v>35534</v>
      </c>
      <c r="B53">
        <v>-76.413399999999996</v>
      </c>
      <c r="C53">
        <v>-177.95869999999999</v>
      </c>
      <c r="D53">
        <v>15</v>
      </c>
      <c r="E53">
        <f t="shared" si="1"/>
        <v>1.8200000000000001E-4</v>
      </c>
      <c r="F53">
        <f t="shared" si="2"/>
        <v>1.9000000000000001E-5</v>
      </c>
      <c r="G53">
        <f t="shared" si="3"/>
        <v>4.6100000000000004E-4</v>
      </c>
      <c r="H53">
        <v>0.182</v>
      </c>
      <c r="I53">
        <v>1.9E-2</v>
      </c>
      <c r="J53">
        <v>0.46100000000000002</v>
      </c>
      <c r="N53">
        <v>0.46100000000000002</v>
      </c>
      <c r="T53">
        <v>1.9E-2</v>
      </c>
      <c r="X53" t="s">
        <v>502</v>
      </c>
    </row>
    <row r="54" spans="1:24">
      <c r="A54" s="1">
        <v>35534</v>
      </c>
      <c r="B54">
        <v>-76.413399999999996</v>
      </c>
      <c r="C54">
        <v>-177.95869999999999</v>
      </c>
      <c r="D54">
        <v>30</v>
      </c>
      <c r="E54">
        <f t="shared" si="1"/>
        <v>2.03E-4</v>
      </c>
      <c r="F54">
        <f t="shared" si="2"/>
        <v>1.9000000000000001E-5</v>
      </c>
      <c r="G54">
        <f t="shared" si="3"/>
        <v>1.3800000000000002E-4</v>
      </c>
      <c r="H54">
        <v>0.20300000000000001</v>
      </c>
      <c r="I54">
        <v>1.9E-2</v>
      </c>
      <c r="J54">
        <v>0.13800000000000001</v>
      </c>
      <c r="K54">
        <v>0.81</v>
      </c>
      <c r="M54">
        <v>0.02</v>
      </c>
      <c r="N54">
        <v>0.13800000000000001</v>
      </c>
      <c r="R54">
        <v>1.04E-2</v>
      </c>
      <c r="T54">
        <v>1.9E-2</v>
      </c>
      <c r="X54" t="s">
        <v>501</v>
      </c>
    </row>
    <row r="55" spans="1:24">
      <c r="A55" s="1">
        <v>35534</v>
      </c>
      <c r="B55">
        <v>-76.413399999999996</v>
      </c>
      <c r="C55">
        <v>-177.95869999999999</v>
      </c>
      <c r="D55">
        <v>49</v>
      </c>
      <c r="E55">
        <f t="shared" si="1"/>
        <v>2.5500000000000002E-4</v>
      </c>
      <c r="F55">
        <f t="shared" si="2"/>
        <v>3.0000000000000001E-6</v>
      </c>
      <c r="G55" t="str">
        <f t="shared" si="3"/>
        <v/>
      </c>
      <c r="H55">
        <v>0.255</v>
      </c>
      <c r="I55">
        <v>3.0000000000000001E-3</v>
      </c>
      <c r="T55">
        <v>3.0000000000000001E-3</v>
      </c>
      <c r="X55" t="s">
        <v>502</v>
      </c>
    </row>
    <row r="56" spans="1:24">
      <c r="A56" s="1">
        <v>35534</v>
      </c>
      <c r="B56">
        <v>-76.413399999999996</v>
      </c>
      <c r="C56">
        <v>-177.95869999999999</v>
      </c>
      <c r="D56">
        <v>64</v>
      </c>
      <c r="E56">
        <f t="shared" si="1"/>
        <v>4.4999999999999996E-5</v>
      </c>
      <c r="F56">
        <f t="shared" si="2"/>
        <v>0</v>
      </c>
      <c r="G56" t="str">
        <f t="shared" si="3"/>
        <v/>
      </c>
      <c r="H56">
        <v>4.4999999999999998E-2</v>
      </c>
      <c r="I56">
        <v>0</v>
      </c>
      <c r="K56">
        <v>0.8</v>
      </c>
      <c r="M56">
        <v>0.08</v>
      </c>
      <c r="T56">
        <v>0</v>
      </c>
      <c r="X56" t="s">
        <v>501</v>
      </c>
    </row>
    <row r="57" spans="1:24">
      <c r="A57" s="1">
        <v>35534</v>
      </c>
      <c r="B57">
        <v>-76.413399999999996</v>
      </c>
      <c r="C57">
        <v>-177.95869999999999</v>
      </c>
      <c r="D57">
        <v>99</v>
      </c>
      <c r="E57">
        <f t="shared" si="1"/>
        <v>4.0000000000000003E-5</v>
      </c>
      <c r="F57">
        <f t="shared" si="2"/>
        <v>8.9999999999999985E-6</v>
      </c>
      <c r="G57">
        <f t="shared" si="3"/>
        <v>1.2999999999999999E-5</v>
      </c>
      <c r="H57">
        <v>0.04</v>
      </c>
      <c r="I57">
        <v>8.9999999999999993E-3</v>
      </c>
      <c r="J57">
        <v>1.2999999999999999E-2</v>
      </c>
      <c r="N57">
        <v>1.2999999999999999E-2</v>
      </c>
      <c r="R57">
        <v>0</v>
      </c>
      <c r="T57">
        <v>8.9999999999999993E-3</v>
      </c>
      <c r="X57" t="s">
        <v>502</v>
      </c>
    </row>
    <row r="58" spans="1:24">
      <c r="A58" s="1">
        <v>35537</v>
      </c>
      <c r="B58">
        <v>-76.4649</v>
      </c>
      <c r="C58">
        <v>169.0574</v>
      </c>
      <c r="D58">
        <v>3</v>
      </c>
      <c r="E58">
        <f t="shared" si="1"/>
        <v>1.2600000000000001E-3</v>
      </c>
      <c r="F58">
        <f t="shared" si="2"/>
        <v>9.800000000000001E-5</v>
      </c>
      <c r="G58" t="str">
        <f t="shared" si="3"/>
        <v/>
      </c>
      <c r="H58">
        <v>1.26</v>
      </c>
      <c r="I58">
        <v>9.8000000000000004E-2</v>
      </c>
      <c r="K58">
        <v>2.25</v>
      </c>
      <c r="M58">
        <v>0.31</v>
      </c>
      <c r="R58">
        <v>1.0800000000000001E-2</v>
      </c>
      <c r="T58">
        <v>9.8000000000000004E-2</v>
      </c>
      <c r="X58" t="s">
        <v>503</v>
      </c>
    </row>
    <row r="59" spans="1:24">
      <c r="A59" s="1">
        <v>35537</v>
      </c>
      <c r="B59">
        <v>-76.4649</v>
      </c>
      <c r="C59">
        <v>169.0574</v>
      </c>
      <c r="D59">
        <v>15</v>
      </c>
      <c r="E59">
        <f t="shared" si="1"/>
        <v>1.103E-3</v>
      </c>
      <c r="F59">
        <f t="shared" si="2"/>
        <v>1.1E-4</v>
      </c>
      <c r="G59">
        <f t="shared" si="3"/>
        <v>9.1E-4</v>
      </c>
      <c r="H59">
        <v>1.103</v>
      </c>
      <c r="I59">
        <v>0.11</v>
      </c>
      <c r="J59">
        <v>0.91</v>
      </c>
      <c r="K59">
        <v>2.27</v>
      </c>
      <c r="M59">
        <v>0.35</v>
      </c>
      <c r="N59">
        <v>0.91</v>
      </c>
      <c r="R59">
        <v>3.5000000000000003E-2</v>
      </c>
      <c r="T59">
        <v>0.11</v>
      </c>
      <c r="X59" t="s">
        <v>503</v>
      </c>
    </row>
    <row r="60" spans="1:24">
      <c r="A60" s="1">
        <v>35537</v>
      </c>
      <c r="B60">
        <v>-76.4649</v>
      </c>
      <c r="C60">
        <v>169.0574</v>
      </c>
      <c r="D60">
        <v>30</v>
      </c>
      <c r="E60">
        <f t="shared" si="1"/>
        <v>1.2099999999999999E-3</v>
      </c>
      <c r="F60">
        <f t="shared" si="2"/>
        <v>1.4299999999999998E-4</v>
      </c>
      <c r="G60">
        <f t="shared" si="3"/>
        <v>8.6600000000000002E-4</v>
      </c>
      <c r="H60">
        <v>1.21</v>
      </c>
      <c r="I60">
        <v>0.14299999999999999</v>
      </c>
      <c r="J60">
        <v>0.86599999999999999</v>
      </c>
      <c r="K60">
        <v>2.27</v>
      </c>
      <c r="M60">
        <v>0.37</v>
      </c>
      <c r="N60">
        <v>0.86599999999999999</v>
      </c>
      <c r="R60">
        <v>8.7099999999999997E-2</v>
      </c>
      <c r="T60">
        <v>0.14299999999999999</v>
      </c>
      <c r="X60" t="s">
        <v>503</v>
      </c>
    </row>
    <row r="61" spans="1:24">
      <c r="A61" s="1">
        <v>35537</v>
      </c>
      <c r="B61">
        <v>-76.4649</v>
      </c>
      <c r="C61">
        <v>169.0574</v>
      </c>
      <c r="D61">
        <v>49</v>
      </c>
      <c r="E61">
        <f t="shared" si="1"/>
        <v>1.1899999999999999E-3</v>
      </c>
      <c r="F61">
        <f t="shared" si="2"/>
        <v>2.8699999999999998E-4</v>
      </c>
      <c r="G61">
        <f t="shared" si="3"/>
        <v>5.5500000000000005E-4</v>
      </c>
      <c r="H61">
        <v>1.19</v>
      </c>
      <c r="I61">
        <v>0.28699999999999998</v>
      </c>
      <c r="J61">
        <v>0.55500000000000005</v>
      </c>
      <c r="K61">
        <v>2.2599999999999998</v>
      </c>
      <c r="M61">
        <v>0.36</v>
      </c>
      <c r="N61">
        <v>0.55500000000000005</v>
      </c>
      <c r="R61">
        <v>0</v>
      </c>
      <c r="T61">
        <v>0.28699999999999998</v>
      </c>
      <c r="X61" t="s">
        <v>503</v>
      </c>
    </row>
    <row r="62" spans="1:24">
      <c r="A62" s="1">
        <v>35537</v>
      </c>
      <c r="B62">
        <v>-76.4649</v>
      </c>
      <c r="C62">
        <v>169.0574</v>
      </c>
      <c r="D62">
        <v>64</v>
      </c>
      <c r="E62">
        <f t="shared" si="1"/>
        <v>2.1849999999999999E-3</v>
      </c>
      <c r="F62">
        <f t="shared" si="2"/>
        <v>8.9999999999999992E-5</v>
      </c>
      <c r="G62">
        <f t="shared" si="3"/>
        <v>1.4799999999999999E-4</v>
      </c>
      <c r="H62">
        <v>2.1850000000000001</v>
      </c>
      <c r="I62">
        <v>0.09</v>
      </c>
      <c r="J62">
        <v>0.14799999999999999</v>
      </c>
      <c r="N62">
        <v>0.14799999999999999</v>
      </c>
      <c r="R62">
        <v>6.5000000000000002E-2</v>
      </c>
      <c r="T62">
        <v>0.09</v>
      </c>
      <c r="X62" t="s">
        <v>504</v>
      </c>
    </row>
    <row r="63" spans="1:24">
      <c r="A63" s="1">
        <v>35537</v>
      </c>
      <c r="B63">
        <v>-76.4649</v>
      </c>
      <c r="C63">
        <v>169.0574</v>
      </c>
      <c r="D63">
        <v>100</v>
      </c>
      <c r="E63">
        <f t="shared" si="1"/>
        <v>2.5049999999999998E-3</v>
      </c>
      <c r="F63">
        <f t="shared" si="2"/>
        <v>5.0000000000000002E-5</v>
      </c>
      <c r="G63" t="str">
        <f t="shared" si="3"/>
        <v/>
      </c>
      <c r="H63">
        <v>2.5049999999999999</v>
      </c>
      <c r="I63">
        <v>0.05</v>
      </c>
      <c r="T63">
        <v>0.05</v>
      </c>
      <c r="X63" t="s">
        <v>504</v>
      </c>
    </row>
    <row r="64" spans="1:24">
      <c r="A64" s="1">
        <v>35750</v>
      </c>
      <c r="B64">
        <v>-76.505700000000004</v>
      </c>
      <c r="C64">
        <v>-177.96369999999999</v>
      </c>
      <c r="D64">
        <v>3</v>
      </c>
      <c r="E64">
        <f t="shared" si="1"/>
        <v>3.1E-4</v>
      </c>
      <c r="F64">
        <f t="shared" si="2"/>
        <v>8.2999999999999998E-5</v>
      </c>
      <c r="G64">
        <f t="shared" si="3"/>
        <v>1.9989999999999999E-3</v>
      </c>
      <c r="H64">
        <v>0.31</v>
      </c>
      <c r="I64">
        <v>8.3000000000000004E-2</v>
      </c>
      <c r="J64">
        <v>1.9990000000000001</v>
      </c>
      <c r="N64">
        <v>1.9990000000000001</v>
      </c>
      <c r="R64">
        <v>0</v>
      </c>
      <c r="T64">
        <v>8.3000000000000004E-2</v>
      </c>
      <c r="X64" t="s">
        <v>506</v>
      </c>
    </row>
    <row r="65" spans="1:24">
      <c r="A65" s="1">
        <v>35750</v>
      </c>
      <c r="B65">
        <v>-76.505700000000004</v>
      </c>
      <c r="C65">
        <v>-177.96369999999999</v>
      </c>
      <c r="D65">
        <v>15</v>
      </c>
      <c r="E65">
        <f t="shared" si="1"/>
        <v>3.3500000000000001E-4</v>
      </c>
      <c r="F65">
        <f t="shared" si="2"/>
        <v>2.2900000000000001E-4</v>
      </c>
      <c r="G65">
        <f t="shared" si="3"/>
        <v>2.362E-3</v>
      </c>
      <c r="H65">
        <v>0.33500000000000002</v>
      </c>
      <c r="I65">
        <v>0.22900000000000001</v>
      </c>
      <c r="J65">
        <v>2.3620000000000001</v>
      </c>
      <c r="N65">
        <v>2.3620000000000001</v>
      </c>
      <c r="T65">
        <v>0.22900000000000001</v>
      </c>
      <c r="X65" t="s">
        <v>506</v>
      </c>
    </row>
    <row r="66" spans="1:24">
      <c r="A66" s="1">
        <v>35750</v>
      </c>
      <c r="B66">
        <v>-76.505700000000004</v>
      </c>
      <c r="C66">
        <v>-177.96369999999999</v>
      </c>
      <c r="D66">
        <v>30</v>
      </c>
      <c r="E66">
        <f t="shared" si="1"/>
        <v>8.9999999999999992E-5</v>
      </c>
      <c r="F66">
        <f t="shared" si="2"/>
        <v>1.9700000000000002E-4</v>
      </c>
      <c r="G66">
        <f t="shared" si="3"/>
        <v>9.6199999999999996E-4</v>
      </c>
      <c r="H66">
        <v>0.09</v>
      </c>
      <c r="I66">
        <v>0.19700000000000001</v>
      </c>
      <c r="J66">
        <v>0.96199999999999997</v>
      </c>
      <c r="K66">
        <v>0</v>
      </c>
      <c r="M66">
        <v>0.03</v>
      </c>
      <c r="N66">
        <v>0.96199999999999997</v>
      </c>
      <c r="R66">
        <v>7.7499999999999999E-2</v>
      </c>
      <c r="T66">
        <v>0.19700000000000001</v>
      </c>
      <c r="X66" t="s">
        <v>505</v>
      </c>
    </row>
    <row r="67" spans="1:24">
      <c r="A67" s="1">
        <v>35750</v>
      </c>
      <c r="B67">
        <v>-76.505700000000004</v>
      </c>
      <c r="C67">
        <v>-177.96369999999999</v>
      </c>
      <c r="D67">
        <v>50</v>
      </c>
      <c r="E67">
        <f t="shared" ref="E67:E88" si="4">IF(H67="","",H67/1000)</f>
        <v>7.9700000000000007E-4</v>
      </c>
      <c r="F67">
        <f t="shared" ref="F67:F88" si="5">IF(I67="","",I67/1000)</f>
        <v>1.03E-4</v>
      </c>
      <c r="G67" t="str">
        <f t="shared" ref="G67:G88" si="6">IF(J67="","",J67/1000)</f>
        <v/>
      </c>
      <c r="H67">
        <v>0.79700000000000004</v>
      </c>
      <c r="I67">
        <v>0.10299999999999999</v>
      </c>
      <c r="T67">
        <v>0.10299999999999999</v>
      </c>
      <c r="X67" t="s">
        <v>506</v>
      </c>
    </row>
    <row r="68" spans="1:24">
      <c r="A68" s="1">
        <v>35750</v>
      </c>
      <c r="B68">
        <v>-76.505700000000004</v>
      </c>
      <c r="C68">
        <v>-177.96369999999999</v>
      </c>
      <c r="D68">
        <v>64</v>
      </c>
      <c r="E68">
        <f t="shared" si="4"/>
        <v>6.2E-4</v>
      </c>
      <c r="F68">
        <f t="shared" si="5"/>
        <v>1.2799999999999999E-4</v>
      </c>
      <c r="G68" t="str">
        <f t="shared" si="6"/>
        <v/>
      </c>
      <c r="H68">
        <v>0.62</v>
      </c>
      <c r="I68">
        <v>0.128</v>
      </c>
      <c r="K68">
        <v>0</v>
      </c>
      <c r="M68">
        <v>0</v>
      </c>
      <c r="T68">
        <v>0.128</v>
      </c>
      <c r="X68" t="s">
        <v>505</v>
      </c>
    </row>
    <row r="69" spans="1:24">
      <c r="A69" s="1">
        <v>35750</v>
      </c>
      <c r="B69">
        <v>-76.505700000000004</v>
      </c>
      <c r="C69">
        <v>-177.96369999999999</v>
      </c>
      <c r="D69">
        <v>99</v>
      </c>
      <c r="E69">
        <f t="shared" si="4"/>
        <v>7.4999999999999993E-5</v>
      </c>
      <c r="F69">
        <f t="shared" si="5"/>
        <v>8.2999999999999998E-5</v>
      </c>
      <c r="G69">
        <f t="shared" si="6"/>
        <v>6.5800000000000006E-4</v>
      </c>
      <c r="H69">
        <v>7.4999999999999997E-2</v>
      </c>
      <c r="I69">
        <v>8.3000000000000004E-2</v>
      </c>
      <c r="J69">
        <v>0.65800000000000003</v>
      </c>
      <c r="N69">
        <v>0.65800000000000003</v>
      </c>
      <c r="R69">
        <v>2.1700000000000001E-2</v>
      </c>
      <c r="T69">
        <v>8.3000000000000004E-2</v>
      </c>
      <c r="X69" t="s">
        <v>506</v>
      </c>
    </row>
    <row r="70" spans="1:24">
      <c r="A70" s="1">
        <v>35763</v>
      </c>
      <c r="B70">
        <v>-76.499499999999998</v>
      </c>
      <c r="C70">
        <v>175.99969999999999</v>
      </c>
      <c r="D70">
        <v>2</v>
      </c>
      <c r="E70">
        <f t="shared" si="4"/>
        <v>3.5150000000000003E-3</v>
      </c>
      <c r="F70">
        <f t="shared" si="5"/>
        <v>7.8400000000000008E-4</v>
      </c>
      <c r="G70">
        <f t="shared" si="6"/>
        <v>1.8939000000000001E-2</v>
      </c>
      <c r="H70">
        <v>3.5150000000000001</v>
      </c>
      <c r="I70">
        <v>0.78400000000000003</v>
      </c>
      <c r="J70">
        <v>18.939</v>
      </c>
      <c r="K70">
        <v>0.01</v>
      </c>
      <c r="M70">
        <v>0.02</v>
      </c>
      <c r="N70">
        <v>18.939</v>
      </c>
      <c r="T70">
        <v>0.78400000000000003</v>
      </c>
      <c r="X70" t="s">
        <v>507</v>
      </c>
    </row>
    <row r="71" spans="1:24">
      <c r="A71" s="1">
        <v>35763</v>
      </c>
      <c r="B71">
        <v>-76.499499999999998</v>
      </c>
      <c r="C71">
        <v>175.99969999999999</v>
      </c>
      <c r="D71">
        <v>6</v>
      </c>
      <c r="E71">
        <f t="shared" si="4"/>
        <v>3.7989999999999999E-3</v>
      </c>
      <c r="F71">
        <f t="shared" si="5"/>
        <v>9.5299999999999996E-4</v>
      </c>
      <c r="G71">
        <f t="shared" si="6"/>
        <v>3.1040999999999999E-2</v>
      </c>
      <c r="H71">
        <v>3.7989999999999999</v>
      </c>
      <c r="I71">
        <v>0.95299999999999996</v>
      </c>
      <c r="J71">
        <v>31.041</v>
      </c>
      <c r="K71">
        <v>0.01</v>
      </c>
      <c r="M71">
        <v>0.04</v>
      </c>
      <c r="N71">
        <v>31.041</v>
      </c>
      <c r="T71">
        <v>0.95299999999999996</v>
      </c>
      <c r="X71" t="s">
        <v>507</v>
      </c>
    </row>
    <row r="72" spans="1:24">
      <c r="A72" s="1">
        <v>35763</v>
      </c>
      <c r="B72">
        <v>-76.499499999999998</v>
      </c>
      <c r="C72">
        <v>175.99969999999999</v>
      </c>
      <c r="D72">
        <v>12</v>
      </c>
      <c r="E72">
        <f t="shared" si="4"/>
        <v>3.4529999999999999E-3</v>
      </c>
      <c r="F72">
        <f t="shared" si="5"/>
        <v>9.320000000000001E-4</v>
      </c>
      <c r="G72">
        <f t="shared" si="6"/>
        <v>2.9838E-2</v>
      </c>
      <c r="H72">
        <v>3.4529999999999998</v>
      </c>
      <c r="I72">
        <v>0.93200000000000005</v>
      </c>
      <c r="J72">
        <v>29.838000000000001</v>
      </c>
      <c r="K72">
        <v>0.01</v>
      </c>
      <c r="M72">
        <v>0.04</v>
      </c>
      <c r="N72">
        <v>29.838000000000001</v>
      </c>
      <c r="T72">
        <v>0.93200000000000005</v>
      </c>
      <c r="X72" t="s">
        <v>507</v>
      </c>
    </row>
    <row r="73" spans="1:24">
      <c r="A73" s="1">
        <v>35763</v>
      </c>
      <c r="B73">
        <v>-76.499499999999998</v>
      </c>
      <c r="C73">
        <v>175.99969999999999</v>
      </c>
      <c r="D73">
        <v>20</v>
      </c>
      <c r="E73">
        <f t="shared" si="4"/>
        <v>1.7382999999999999E-2</v>
      </c>
      <c r="F73">
        <f t="shared" si="5"/>
        <v>7.1900000000000002E-4</v>
      </c>
      <c r="G73">
        <f t="shared" si="6"/>
        <v>2.5833999999999999E-2</v>
      </c>
      <c r="H73">
        <v>17.382999999999999</v>
      </c>
      <c r="I73">
        <v>0.71899999999999997</v>
      </c>
      <c r="J73">
        <v>25.834</v>
      </c>
      <c r="N73">
        <v>25.834</v>
      </c>
      <c r="T73">
        <v>0.71899999999999997</v>
      </c>
      <c r="X73" t="s">
        <v>508</v>
      </c>
    </row>
    <row r="74" spans="1:24">
      <c r="A74" s="1">
        <v>35763</v>
      </c>
      <c r="B74">
        <v>-76.499499999999998</v>
      </c>
      <c r="C74">
        <v>175.99969999999999</v>
      </c>
      <c r="D74">
        <v>26</v>
      </c>
      <c r="E74">
        <f t="shared" si="4"/>
        <v>1.5160999999999999E-2</v>
      </c>
      <c r="F74">
        <f t="shared" si="5"/>
        <v>8.6399999999999997E-4</v>
      </c>
      <c r="G74">
        <f t="shared" si="6"/>
        <v>2.3722E-2</v>
      </c>
      <c r="H74">
        <v>15.161</v>
      </c>
      <c r="I74">
        <v>0.86399999999999999</v>
      </c>
      <c r="J74">
        <v>23.722000000000001</v>
      </c>
      <c r="N74">
        <v>23.722000000000001</v>
      </c>
      <c r="T74">
        <v>0.86399999999999999</v>
      </c>
      <c r="X74" t="s">
        <v>508</v>
      </c>
    </row>
    <row r="75" spans="1:24">
      <c r="A75" s="1">
        <v>35763</v>
      </c>
      <c r="B75">
        <v>-76.499499999999998</v>
      </c>
      <c r="C75">
        <v>175.99969999999999</v>
      </c>
      <c r="D75">
        <v>40</v>
      </c>
      <c r="E75">
        <f t="shared" si="4"/>
        <v>1.7589999999999999E-3</v>
      </c>
      <c r="F75">
        <f t="shared" si="5"/>
        <v>2.12E-4</v>
      </c>
      <c r="G75">
        <f t="shared" si="6"/>
        <v>3.643E-3</v>
      </c>
      <c r="H75">
        <v>1.7589999999999999</v>
      </c>
      <c r="I75">
        <v>0.21199999999999999</v>
      </c>
      <c r="J75">
        <v>3.6429999999999998</v>
      </c>
      <c r="N75">
        <v>3.6429999999999998</v>
      </c>
      <c r="T75">
        <v>0.21199999999999999</v>
      </c>
      <c r="X75" t="s">
        <v>508</v>
      </c>
    </row>
    <row r="76" spans="1:24">
      <c r="A76" s="1">
        <v>35765</v>
      </c>
      <c r="B76">
        <v>-76.530500000000004</v>
      </c>
      <c r="C76">
        <v>169.161</v>
      </c>
      <c r="D76">
        <v>2</v>
      </c>
      <c r="E76">
        <f t="shared" si="4"/>
        <v>1.9199999999999998E-3</v>
      </c>
      <c r="F76">
        <f t="shared" si="5"/>
        <v>3.2700000000000003E-4</v>
      </c>
      <c r="G76">
        <f t="shared" si="6"/>
        <v>6.4130000000000003E-3</v>
      </c>
      <c r="H76">
        <v>1.92</v>
      </c>
      <c r="I76">
        <v>0.32700000000000001</v>
      </c>
      <c r="J76">
        <v>6.4130000000000003</v>
      </c>
      <c r="N76">
        <v>6.4130000000000003</v>
      </c>
      <c r="R76">
        <v>0.20749999999999999</v>
      </c>
      <c r="T76">
        <v>0.32700000000000001</v>
      </c>
      <c r="X76" t="s">
        <v>510</v>
      </c>
    </row>
    <row r="77" spans="1:24">
      <c r="A77" s="1">
        <v>35765</v>
      </c>
      <c r="B77">
        <v>-76.530500000000004</v>
      </c>
      <c r="C77">
        <v>169.161</v>
      </c>
      <c r="D77">
        <v>7</v>
      </c>
      <c r="E77">
        <f t="shared" si="4"/>
        <v>2.3239999999999997E-3</v>
      </c>
      <c r="F77">
        <f t="shared" si="5"/>
        <v>3.3600000000000004E-4</v>
      </c>
      <c r="G77">
        <f t="shared" si="6"/>
        <v>1.5799000000000001E-2</v>
      </c>
      <c r="H77">
        <v>2.3239999999999998</v>
      </c>
      <c r="I77">
        <v>0.33600000000000002</v>
      </c>
      <c r="J77">
        <v>15.798999999999999</v>
      </c>
      <c r="N77">
        <v>15.798999999999999</v>
      </c>
      <c r="T77">
        <v>0.33600000000000002</v>
      </c>
      <c r="X77" t="s">
        <v>510</v>
      </c>
    </row>
    <row r="78" spans="1:24">
      <c r="A78" s="1">
        <v>35765</v>
      </c>
      <c r="B78">
        <v>-76.530500000000004</v>
      </c>
      <c r="C78">
        <v>169.161</v>
      </c>
      <c r="D78">
        <v>14</v>
      </c>
      <c r="E78">
        <f t="shared" si="4"/>
        <v>1.7310000000000001E-3</v>
      </c>
      <c r="F78">
        <f t="shared" si="5"/>
        <v>2.9999999999999997E-4</v>
      </c>
      <c r="G78">
        <f t="shared" si="6"/>
        <v>2.0114E-2</v>
      </c>
      <c r="H78">
        <v>1.7310000000000001</v>
      </c>
      <c r="I78">
        <v>0.3</v>
      </c>
      <c r="J78">
        <v>20.114000000000001</v>
      </c>
      <c r="K78">
        <v>0.02</v>
      </c>
      <c r="M78">
        <v>0.05</v>
      </c>
      <c r="N78">
        <v>20.114000000000001</v>
      </c>
      <c r="R78">
        <v>9.6699999999999994E-2</v>
      </c>
      <c r="T78">
        <v>0.3</v>
      </c>
      <c r="X78" t="s">
        <v>509</v>
      </c>
    </row>
    <row r="79" spans="1:24">
      <c r="A79" s="1">
        <v>35765</v>
      </c>
      <c r="B79">
        <v>-76.530500000000004</v>
      </c>
      <c r="C79">
        <v>169.161</v>
      </c>
      <c r="D79">
        <v>24</v>
      </c>
      <c r="E79">
        <f t="shared" si="4"/>
        <v>2.2589999999999997E-3</v>
      </c>
      <c r="F79">
        <f t="shared" si="5"/>
        <v>2.99E-4</v>
      </c>
      <c r="G79" t="str">
        <f t="shared" si="6"/>
        <v/>
      </c>
      <c r="H79">
        <v>2.2589999999999999</v>
      </c>
      <c r="I79">
        <v>0.29899999999999999</v>
      </c>
      <c r="T79">
        <v>0.29899999999999999</v>
      </c>
      <c r="X79" t="s">
        <v>510</v>
      </c>
    </row>
    <row r="80" spans="1:24">
      <c r="A80" s="1">
        <v>35765</v>
      </c>
      <c r="B80">
        <v>-76.530500000000004</v>
      </c>
      <c r="C80">
        <v>169.161</v>
      </c>
      <c r="D80">
        <v>31</v>
      </c>
      <c r="E80">
        <f t="shared" si="4"/>
        <v>2.4710000000000001E-3</v>
      </c>
      <c r="F80">
        <f t="shared" si="5"/>
        <v>1.639E-3</v>
      </c>
      <c r="G80" t="str">
        <f t="shared" si="6"/>
        <v/>
      </c>
      <c r="H80">
        <v>2.4710000000000001</v>
      </c>
      <c r="I80">
        <v>1.639</v>
      </c>
      <c r="K80">
        <v>0.01</v>
      </c>
      <c r="M80">
        <v>0.03</v>
      </c>
      <c r="T80">
        <v>1.639</v>
      </c>
      <c r="X80" t="s">
        <v>509</v>
      </c>
    </row>
    <row r="81" spans="1:24">
      <c r="A81" s="1">
        <v>35765</v>
      </c>
      <c r="B81">
        <v>-76.530500000000004</v>
      </c>
      <c r="C81">
        <v>169.161</v>
      </c>
      <c r="D81">
        <v>48</v>
      </c>
      <c r="E81">
        <f t="shared" si="4"/>
        <v>1.2390000000000001E-3</v>
      </c>
      <c r="F81">
        <f t="shared" si="5"/>
        <v>3.1300000000000002E-4</v>
      </c>
      <c r="G81">
        <f t="shared" si="6"/>
        <v>6.8449999999999995E-3</v>
      </c>
      <c r="H81">
        <v>1.2390000000000001</v>
      </c>
      <c r="I81">
        <v>0.313</v>
      </c>
      <c r="J81">
        <v>6.8449999999999998</v>
      </c>
      <c r="N81">
        <v>6.8449999999999998</v>
      </c>
      <c r="R81">
        <v>2.1299999999999999E-2</v>
      </c>
      <c r="T81">
        <v>0.313</v>
      </c>
      <c r="X81" t="s">
        <v>510</v>
      </c>
    </row>
    <row r="82" spans="1:24">
      <c r="A82" s="1">
        <v>35767</v>
      </c>
      <c r="B82">
        <v>-76.497699999999995</v>
      </c>
      <c r="C82">
        <v>-178.0187</v>
      </c>
      <c r="D82">
        <v>3</v>
      </c>
      <c r="E82">
        <f t="shared" si="4"/>
        <v>5.6499999999999996E-4</v>
      </c>
      <c r="F82">
        <f t="shared" si="5"/>
        <v>8.7999999999999998E-5</v>
      </c>
      <c r="G82">
        <f t="shared" si="6"/>
        <v>1.067E-3</v>
      </c>
      <c r="H82">
        <v>0.56499999999999995</v>
      </c>
      <c r="I82">
        <v>8.7999999999999995E-2</v>
      </c>
      <c r="J82">
        <v>1.0669999999999999</v>
      </c>
      <c r="N82">
        <v>1.0669999999999999</v>
      </c>
      <c r="R82">
        <v>6.6E-3</v>
      </c>
      <c r="T82">
        <v>8.7999999999999995E-2</v>
      </c>
      <c r="X82" t="s">
        <v>512</v>
      </c>
    </row>
    <row r="83" spans="1:24">
      <c r="A83" s="1">
        <v>35767</v>
      </c>
      <c r="B83">
        <v>-76.497699999999995</v>
      </c>
      <c r="C83">
        <v>-178.0187</v>
      </c>
      <c r="D83">
        <v>13</v>
      </c>
      <c r="E83">
        <f t="shared" si="4"/>
        <v>5.53E-4</v>
      </c>
      <c r="F83">
        <f t="shared" si="5"/>
        <v>1.55E-4</v>
      </c>
      <c r="G83">
        <f t="shared" si="6"/>
        <v>1.8700000000000001E-3</v>
      </c>
      <c r="H83">
        <v>0.55300000000000005</v>
      </c>
      <c r="I83">
        <v>0.155</v>
      </c>
      <c r="J83">
        <v>1.87</v>
      </c>
      <c r="N83">
        <v>1.87</v>
      </c>
      <c r="T83">
        <v>0.155</v>
      </c>
      <c r="X83" t="s">
        <v>512</v>
      </c>
    </row>
    <row r="84" spans="1:24">
      <c r="A84" s="1">
        <v>35767</v>
      </c>
      <c r="B84">
        <v>-76.497699999999995</v>
      </c>
      <c r="C84">
        <v>-178.0187</v>
      </c>
      <c r="D84">
        <v>26</v>
      </c>
      <c r="E84">
        <f t="shared" si="4"/>
        <v>3.3600000000000004E-4</v>
      </c>
      <c r="F84">
        <f t="shared" si="5"/>
        <v>1.54E-4</v>
      </c>
      <c r="G84">
        <f t="shared" si="6"/>
        <v>2.2269999999999998E-3</v>
      </c>
      <c r="H84">
        <v>0.33600000000000002</v>
      </c>
      <c r="I84">
        <v>0.154</v>
      </c>
      <c r="J84">
        <v>2.2269999999999999</v>
      </c>
      <c r="K84">
        <v>0.14000000000000001</v>
      </c>
      <c r="M84">
        <v>0.03</v>
      </c>
      <c r="N84">
        <v>2.2269999999999999</v>
      </c>
      <c r="R84">
        <v>6.4000000000000003E-3</v>
      </c>
      <c r="T84">
        <v>0.154</v>
      </c>
      <c r="X84" t="s">
        <v>511</v>
      </c>
    </row>
    <row r="85" spans="1:24">
      <c r="A85" s="1">
        <v>35767</v>
      </c>
      <c r="B85">
        <v>-76.497699999999995</v>
      </c>
      <c r="C85">
        <v>-178.0187</v>
      </c>
      <c r="D85">
        <v>44</v>
      </c>
      <c r="E85">
        <f t="shared" si="4"/>
        <v>4.7399999999999997E-4</v>
      </c>
      <c r="F85">
        <f t="shared" si="5"/>
        <v>2.03E-4</v>
      </c>
      <c r="G85" t="str">
        <f t="shared" si="6"/>
        <v/>
      </c>
      <c r="H85">
        <v>0.47399999999999998</v>
      </c>
      <c r="I85">
        <v>0.20300000000000001</v>
      </c>
      <c r="T85">
        <v>0.20300000000000001</v>
      </c>
      <c r="X85" t="s">
        <v>512</v>
      </c>
    </row>
    <row r="86" spans="1:24">
      <c r="A86" s="1">
        <v>35767</v>
      </c>
      <c r="B86">
        <v>-76.497699999999995</v>
      </c>
      <c r="C86">
        <v>-178.0187</v>
      </c>
      <c r="D86">
        <v>57</v>
      </c>
      <c r="E86">
        <f t="shared" si="4"/>
        <v>3.8999999999999999E-4</v>
      </c>
      <c r="F86">
        <f t="shared" si="5"/>
        <v>1.4000000000000001E-4</v>
      </c>
      <c r="G86" t="str">
        <f t="shared" si="6"/>
        <v/>
      </c>
      <c r="H86">
        <v>0.39</v>
      </c>
      <c r="I86">
        <v>0.14000000000000001</v>
      </c>
      <c r="K86">
        <v>7.0000000000000007E-2</v>
      </c>
      <c r="M86">
        <v>0.03</v>
      </c>
      <c r="T86">
        <v>0.14000000000000001</v>
      </c>
      <c r="X86" t="s">
        <v>511</v>
      </c>
    </row>
    <row r="87" spans="1:24">
      <c r="A87" s="1">
        <v>35767</v>
      </c>
      <c r="B87">
        <v>-76.497699999999995</v>
      </c>
      <c r="C87">
        <v>-178.0187</v>
      </c>
      <c r="D87">
        <v>88</v>
      </c>
      <c r="E87">
        <f t="shared" si="4"/>
        <v>1.3800000000000002E-4</v>
      </c>
      <c r="F87">
        <f t="shared" si="5"/>
        <v>4.2999999999999995E-5</v>
      </c>
      <c r="G87">
        <f t="shared" si="6"/>
        <v>6.9499999999999998E-4</v>
      </c>
      <c r="H87">
        <v>0.13800000000000001</v>
      </c>
      <c r="I87">
        <v>4.2999999999999997E-2</v>
      </c>
      <c r="J87">
        <v>0.69499999999999995</v>
      </c>
      <c r="N87">
        <v>0.69499999999999995</v>
      </c>
      <c r="R87">
        <v>1.54E-2</v>
      </c>
      <c r="T87">
        <v>4.2999999999999997E-2</v>
      </c>
      <c r="X87" t="s">
        <v>512</v>
      </c>
    </row>
    <row r="88" spans="1:24">
      <c r="A88" s="1">
        <v>35770</v>
      </c>
      <c r="B88">
        <v>-76.476200000000006</v>
      </c>
      <c r="C88">
        <v>176.0942</v>
      </c>
      <c r="D88">
        <v>5</v>
      </c>
      <c r="E88">
        <f t="shared" si="4"/>
        <v>5.1800000000000001E-4</v>
      </c>
      <c r="F88">
        <f t="shared" si="5"/>
        <v>6.3E-5</v>
      </c>
      <c r="G88" t="str">
        <f t="shared" si="6"/>
        <v/>
      </c>
      <c r="H88">
        <v>0.51800000000000002</v>
      </c>
      <c r="I88">
        <v>6.3E-2</v>
      </c>
      <c r="T88">
        <v>6.3E-2</v>
      </c>
      <c r="X88" t="s">
        <v>513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40A7-E3AC-6944-BA6D-1905532C6A0E}">
  <dimension ref="A1:J35"/>
  <sheetViews>
    <sheetView tabSelected="1" workbookViewId="0">
      <selection activeCell="E1" sqref="E1:G1"/>
    </sheetView>
  </sheetViews>
  <sheetFormatPr baseColWidth="10" defaultRowHeight="20"/>
  <cols>
    <col min="1" max="1" width="10.42578125" bestFit="1" customWidth="1"/>
    <col min="2" max="2" width="6.7109375" bestFit="1" customWidth="1"/>
    <col min="3" max="3" width="4.42578125" bestFit="1" customWidth="1"/>
    <col min="4" max="4" width="6.28515625" bestFit="1" customWidth="1"/>
    <col min="5" max="5" width="27.7109375" bestFit="1" customWidth="1"/>
    <col min="6" max="6" width="28" bestFit="1" customWidth="1"/>
    <col min="7" max="7" width="27.7109375" bestFit="1" customWidth="1"/>
  </cols>
  <sheetData>
    <row r="1" spans="1:7">
      <c r="A1" s="1" t="s">
        <v>0</v>
      </c>
      <c r="B1" s="35" t="s">
        <v>4</v>
      </c>
      <c r="C1" s="35" t="s">
        <v>5</v>
      </c>
      <c r="D1" t="s">
        <v>383</v>
      </c>
      <c r="E1" s="10" t="s">
        <v>53</v>
      </c>
      <c r="F1" s="8" t="s">
        <v>52</v>
      </c>
      <c r="G1" s="7" t="s">
        <v>421</v>
      </c>
    </row>
    <row r="2" spans="1:7">
      <c r="A2" s="1">
        <v>31263</v>
      </c>
      <c r="B2">
        <v>36</v>
      </c>
      <c r="C2">
        <v>-75</v>
      </c>
      <c r="D2">
        <v>0</v>
      </c>
      <c r="E2">
        <v>0.42</v>
      </c>
      <c r="F2">
        <v>0.22</v>
      </c>
    </row>
    <row r="3" spans="1:7">
      <c r="A3" s="1">
        <v>31263</v>
      </c>
      <c r="B3">
        <v>36</v>
      </c>
      <c r="C3">
        <v>-75</v>
      </c>
      <c r="D3">
        <v>6.6</v>
      </c>
      <c r="E3">
        <v>0.34</v>
      </c>
      <c r="F3">
        <v>0.15</v>
      </c>
      <c r="G3">
        <v>0.1</v>
      </c>
    </row>
    <row r="4" spans="1:7">
      <c r="A4" s="1">
        <v>31263</v>
      </c>
      <c r="B4">
        <v>36</v>
      </c>
      <c r="C4">
        <v>-75</v>
      </c>
      <c r="D4">
        <v>13</v>
      </c>
      <c r="E4">
        <v>0.4</v>
      </c>
      <c r="F4">
        <v>0.25</v>
      </c>
    </row>
    <row r="5" spans="1:7">
      <c r="A5" s="1">
        <v>31263</v>
      </c>
      <c r="B5">
        <v>36</v>
      </c>
      <c r="C5">
        <v>-75</v>
      </c>
      <c r="D5">
        <v>26</v>
      </c>
      <c r="E5">
        <v>1.4</v>
      </c>
      <c r="F5">
        <v>0.62</v>
      </c>
    </row>
    <row r="6" spans="1:7">
      <c r="A6" s="1">
        <v>31263</v>
      </c>
      <c r="B6">
        <v>36</v>
      </c>
      <c r="C6">
        <v>-75</v>
      </c>
      <c r="D6">
        <v>38</v>
      </c>
      <c r="E6">
        <v>9.1999999999999998E-2</v>
      </c>
      <c r="F6">
        <v>4.3999999999999997E-2</v>
      </c>
      <c r="G6">
        <v>3.9E-2</v>
      </c>
    </row>
    <row r="7" spans="1:7">
      <c r="A7" s="1">
        <v>31263</v>
      </c>
      <c r="B7">
        <v>36</v>
      </c>
      <c r="C7">
        <v>-75</v>
      </c>
      <c r="D7">
        <v>51</v>
      </c>
      <c r="E7">
        <v>6.3E-2</v>
      </c>
      <c r="F7">
        <v>2.4E-2</v>
      </c>
    </row>
    <row r="8" spans="1:7">
      <c r="A8" s="1">
        <v>31267</v>
      </c>
      <c r="B8">
        <v>32.5</v>
      </c>
      <c r="C8">
        <v>-66</v>
      </c>
      <c r="D8">
        <v>0</v>
      </c>
      <c r="E8">
        <v>4.4999999999999998E-2</v>
      </c>
      <c r="F8">
        <v>3.7000000000000005E-2</v>
      </c>
    </row>
    <row r="9" spans="1:7">
      <c r="A9" s="1">
        <v>31267</v>
      </c>
      <c r="B9">
        <v>32.5</v>
      </c>
      <c r="C9">
        <v>-66</v>
      </c>
      <c r="D9">
        <v>15</v>
      </c>
      <c r="E9">
        <v>6.6000000000000003E-2</v>
      </c>
      <c r="F9">
        <v>0.04</v>
      </c>
      <c r="G9">
        <v>1.6E-2</v>
      </c>
    </row>
    <row r="10" spans="1:7">
      <c r="A10" s="1">
        <v>31267</v>
      </c>
      <c r="B10">
        <v>32.5</v>
      </c>
      <c r="C10">
        <v>-66</v>
      </c>
      <c r="D10">
        <v>30</v>
      </c>
      <c r="E10">
        <v>5.1000000000000004E-2</v>
      </c>
      <c r="F10">
        <v>4.5999999999999999E-2</v>
      </c>
    </row>
    <row r="11" spans="1:7">
      <c r="A11" s="1">
        <v>31267</v>
      </c>
      <c r="B11">
        <v>32.5</v>
      </c>
      <c r="C11">
        <v>-66</v>
      </c>
      <c r="D11">
        <v>58</v>
      </c>
      <c r="E11">
        <v>8.0999999999999989E-2</v>
      </c>
      <c r="F11">
        <v>6.4999999999999997E-3</v>
      </c>
    </row>
    <row r="12" spans="1:7">
      <c r="A12" s="1">
        <v>31267</v>
      </c>
      <c r="B12">
        <v>32.5</v>
      </c>
      <c r="C12">
        <v>-66</v>
      </c>
      <c r="D12">
        <v>88</v>
      </c>
      <c r="E12">
        <v>5.8999999999999997E-2</v>
      </c>
      <c r="F12">
        <v>3.5000000000000003E-2</v>
      </c>
      <c r="G12">
        <v>2.2000000000000002E-2</v>
      </c>
    </row>
    <row r="13" spans="1:7">
      <c r="A13" s="1">
        <v>31267</v>
      </c>
      <c r="B13">
        <v>32.5</v>
      </c>
      <c r="C13">
        <v>-66</v>
      </c>
      <c r="D13">
        <v>115</v>
      </c>
      <c r="E13">
        <v>5.4999999999999993E-2</v>
      </c>
      <c r="F13">
        <v>2.3999999999999997E-2</v>
      </c>
    </row>
    <row r="14" spans="1:7">
      <c r="A14" s="1">
        <v>31272</v>
      </c>
      <c r="B14">
        <v>33.75</v>
      </c>
      <c r="C14">
        <v>-70</v>
      </c>
      <c r="D14">
        <v>0</v>
      </c>
      <c r="E14">
        <v>5.1999999999999998E-3</v>
      </c>
      <c r="F14">
        <v>2.3E-2</v>
      </c>
    </row>
    <row r="15" spans="1:7">
      <c r="A15" s="1">
        <v>31272</v>
      </c>
      <c r="B15">
        <v>33.75</v>
      </c>
      <c r="C15">
        <v>-70</v>
      </c>
      <c r="D15">
        <v>15</v>
      </c>
      <c r="E15">
        <v>5.1999999999999998E-3</v>
      </c>
      <c r="F15">
        <v>4.2999999999999997E-2</v>
      </c>
      <c r="G15">
        <v>1.4999999999999999E-2</v>
      </c>
    </row>
    <row r="16" spans="1:7">
      <c r="A16" s="1">
        <v>31272</v>
      </c>
      <c r="B16">
        <v>33.75</v>
      </c>
      <c r="C16">
        <v>-70</v>
      </c>
      <c r="D16">
        <v>30</v>
      </c>
      <c r="E16">
        <v>1.2E-2</v>
      </c>
      <c r="F16">
        <v>5.1999999999999998E-2</v>
      </c>
    </row>
    <row r="17" spans="1:10">
      <c r="A17" s="1">
        <v>31272</v>
      </c>
      <c r="B17">
        <v>33.75</v>
      </c>
      <c r="C17">
        <v>-70</v>
      </c>
      <c r="D17">
        <v>58</v>
      </c>
      <c r="E17">
        <v>8.1000000000000003E-2</v>
      </c>
      <c r="F17">
        <v>4.8000000000000001E-2</v>
      </c>
    </row>
    <row r="18" spans="1:10">
      <c r="A18" s="1">
        <v>31272</v>
      </c>
      <c r="B18">
        <v>33.75</v>
      </c>
      <c r="C18">
        <v>-70</v>
      </c>
      <c r="D18">
        <v>88</v>
      </c>
      <c r="E18">
        <v>5.0999999999999997E-2</v>
      </c>
      <c r="F18">
        <v>4.3999999999999997E-2</v>
      </c>
      <c r="G18">
        <v>7.4000000000000003E-3</v>
      </c>
    </row>
    <row r="19" spans="1:10">
      <c r="A19" s="1">
        <v>31272</v>
      </c>
      <c r="B19">
        <v>33.75</v>
      </c>
      <c r="C19">
        <v>-70</v>
      </c>
      <c r="D19">
        <v>115</v>
      </c>
      <c r="E19">
        <v>3.2000000000000001E-2</v>
      </c>
      <c r="F19">
        <v>1.7999999999999999E-2</v>
      </c>
    </row>
    <row r="23" spans="1:10">
      <c r="J23" s="44"/>
    </row>
    <row r="29" spans="1:10">
      <c r="J29" s="44"/>
    </row>
    <row r="35" spans="10:10">
      <c r="J35" s="44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8EEB-7E7B-3C46-9CC8-C710E3DDF37C}">
  <dimension ref="A1:I24"/>
  <sheetViews>
    <sheetView workbookViewId="0">
      <selection activeCell="F17" sqref="F17"/>
    </sheetView>
  </sheetViews>
  <sheetFormatPr baseColWidth="10" defaultRowHeight="20"/>
  <cols>
    <col min="1" max="1" width="7.140625" bestFit="1" customWidth="1"/>
    <col min="2" max="2" width="10.42578125" bestFit="1" customWidth="1"/>
    <col min="3" max="3" width="8.7109375" bestFit="1" customWidth="1"/>
    <col min="4" max="4" width="9.42578125" bestFit="1" customWidth="1"/>
    <col min="5" max="5" width="6.28515625" bestFit="1" customWidth="1"/>
    <col min="6" max="6" width="15" bestFit="1" customWidth="1"/>
    <col min="7" max="7" width="26.85546875" bestFit="1" customWidth="1"/>
    <col min="8" max="9" width="26.5703125" bestFit="1" customWidth="1"/>
  </cols>
  <sheetData>
    <row r="1" spans="1:9">
      <c r="A1" t="s">
        <v>422</v>
      </c>
      <c r="B1" t="s">
        <v>419</v>
      </c>
      <c r="C1" t="s">
        <v>418</v>
      </c>
      <c r="D1" t="s">
        <v>420</v>
      </c>
      <c r="E1" t="s">
        <v>1</v>
      </c>
      <c r="F1" t="s">
        <v>423</v>
      </c>
      <c r="G1" t="s">
        <v>424</v>
      </c>
      <c r="H1" t="s">
        <v>430</v>
      </c>
      <c r="I1" t="s">
        <v>429</v>
      </c>
    </row>
    <row r="2" spans="1:9">
      <c r="A2">
        <v>9</v>
      </c>
      <c r="B2" s="1">
        <v>40483</v>
      </c>
      <c r="C2">
        <v>24.544</v>
      </c>
      <c r="D2">
        <v>-64.168999999999997</v>
      </c>
      <c r="E2">
        <v>1</v>
      </c>
      <c r="F2" t="s">
        <v>425</v>
      </c>
      <c r="G2" t="s">
        <v>426</v>
      </c>
      <c r="H2" t="s">
        <v>426</v>
      </c>
      <c r="I2" t="s">
        <v>426</v>
      </c>
    </row>
    <row r="3" spans="1:9">
      <c r="A3">
        <v>9</v>
      </c>
      <c r="B3" s="1">
        <v>40483</v>
      </c>
      <c r="C3">
        <v>24.544</v>
      </c>
      <c r="D3">
        <v>-64.168999999999997</v>
      </c>
      <c r="E3">
        <v>1</v>
      </c>
      <c r="F3" t="s">
        <v>427</v>
      </c>
      <c r="G3">
        <v>1.7999999999999999E-2</v>
      </c>
      <c r="H3">
        <v>6.9999999999999999E-4</v>
      </c>
      <c r="I3" t="s">
        <v>426</v>
      </c>
    </row>
    <row r="4" spans="1:9">
      <c r="A4">
        <v>9</v>
      </c>
      <c r="B4" s="1">
        <v>40483</v>
      </c>
      <c r="C4">
        <v>24.544</v>
      </c>
      <c r="D4">
        <v>-64.168999999999997</v>
      </c>
      <c r="E4">
        <v>1</v>
      </c>
      <c r="F4" t="s">
        <v>427</v>
      </c>
      <c r="G4">
        <v>1.9400000000000001E-2</v>
      </c>
      <c r="H4">
        <v>6.9999999999999999E-4</v>
      </c>
      <c r="I4" t="s">
        <v>426</v>
      </c>
    </row>
    <row r="5" spans="1:9">
      <c r="A5">
        <v>9</v>
      </c>
      <c r="B5" s="1">
        <v>40483</v>
      </c>
      <c r="C5">
        <v>24.544</v>
      </c>
      <c r="D5">
        <v>-64.168999999999997</v>
      </c>
      <c r="E5">
        <v>30</v>
      </c>
      <c r="F5" t="s">
        <v>425</v>
      </c>
      <c r="G5" t="s">
        <v>426</v>
      </c>
      <c r="H5">
        <v>0</v>
      </c>
      <c r="I5" t="s">
        <v>426</v>
      </c>
    </row>
    <row r="6" spans="1:9">
      <c r="A6">
        <v>9</v>
      </c>
      <c r="B6" s="1">
        <v>40483</v>
      </c>
      <c r="C6">
        <v>24.544</v>
      </c>
      <c r="D6">
        <v>-64.168999999999997</v>
      </c>
      <c r="E6">
        <v>30</v>
      </c>
      <c r="F6" t="s">
        <v>427</v>
      </c>
      <c r="G6">
        <v>5.5999999999999999E-3</v>
      </c>
      <c r="H6">
        <v>6.9999999999999999E-4</v>
      </c>
      <c r="I6" t="s">
        <v>426</v>
      </c>
    </row>
    <row r="7" spans="1:9">
      <c r="A7">
        <v>9</v>
      </c>
      <c r="B7" s="1">
        <v>40483</v>
      </c>
      <c r="C7">
        <v>24.544</v>
      </c>
      <c r="D7">
        <v>-64.168999999999997</v>
      </c>
      <c r="E7">
        <v>30</v>
      </c>
      <c r="F7" t="s">
        <v>427</v>
      </c>
      <c r="G7">
        <v>1.9800000000000002E-2</v>
      </c>
      <c r="H7">
        <v>6.9999999999999999E-4</v>
      </c>
      <c r="I7" t="s">
        <v>426</v>
      </c>
    </row>
    <row r="8" spans="1:9">
      <c r="A8">
        <v>9</v>
      </c>
      <c r="B8" s="1">
        <v>40483</v>
      </c>
      <c r="C8">
        <v>24.544</v>
      </c>
      <c r="D8">
        <v>-64.168999999999997</v>
      </c>
      <c r="E8">
        <v>100</v>
      </c>
      <c r="F8" t="s">
        <v>425</v>
      </c>
      <c r="G8">
        <v>2.8E-3</v>
      </c>
      <c r="H8">
        <v>1E-4</v>
      </c>
      <c r="I8" t="s">
        <v>426</v>
      </c>
    </row>
    <row r="9" spans="1:9">
      <c r="A9">
        <v>9</v>
      </c>
      <c r="B9" s="1">
        <v>40483</v>
      </c>
      <c r="C9">
        <v>24.544</v>
      </c>
      <c r="D9">
        <v>-64.168999999999997</v>
      </c>
      <c r="E9">
        <v>100</v>
      </c>
      <c r="F9" t="s">
        <v>425</v>
      </c>
      <c r="G9">
        <v>1.1000000000000001E-3</v>
      </c>
      <c r="H9">
        <v>1E-4</v>
      </c>
      <c r="I9" t="s">
        <v>426</v>
      </c>
    </row>
    <row r="10" spans="1:9">
      <c r="A10">
        <v>9</v>
      </c>
      <c r="B10" s="1">
        <v>40483</v>
      </c>
      <c r="C10">
        <v>24.544</v>
      </c>
      <c r="D10">
        <v>-64.168999999999997</v>
      </c>
      <c r="E10">
        <v>100</v>
      </c>
      <c r="F10" t="s">
        <v>427</v>
      </c>
      <c r="G10">
        <v>5.1999999999999998E-3</v>
      </c>
      <c r="H10">
        <v>5.0000000000000001E-4</v>
      </c>
      <c r="I10" t="s">
        <v>426</v>
      </c>
    </row>
    <row r="11" spans="1:9">
      <c r="A11">
        <v>9</v>
      </c>
      <c r="B11" s="1">
        <v>40483</v>
      </c>
      <c r="C11">
        <v>24.544</v>
      </c>
      <c r="D11">
        <v>-64.168999999999997</v>
      </c>
      <c r="E11">
        <v>100</v>
      </c>
      <c r="F11" t="s">
        <v>427</v>
      </c>
      <c r="G11" t="s">
        <v>426</v>
      </c>
      <c r="H11">
        <v>5.0000000000000001E-4</v>
      </c>
      <c r="I11" t="s">
        <v>426</v>
      </c>
    </row>
    <row r="12" spans="1:9">
      <c r="A12">
        <v>5</v>
      </c>
      <c r="B12" s="1">
        <v>40483</v>
      </c>
      <c r="C12">
        <v>28.384</v>
      </c>
      <c r="D12">
        <v>-64.150700000000001</v>
      </c>
      <c r="E12">
        <v>1</v>
      </c>
      <c r="F12" t="s">
        <v>428</v>
      </c>
      <c r="G12">
        <v>6.4999999999999997E-3</v>
      </c>
      <c r="H12">
        <v>1.1000000000000001E-3</v>
      </c>
      <c r="I12">
        <v>2.2000000000000001E-3</v>
      </c>
    </row>
    <row r="13" spans="1:9">
      <c r="A13">
        <v>5</v>
      </c>
      <c r="B13" s="1">
        <v>40483</v>
      </c>
      <c r="C13">
        <v>28.384</v>
      </c>
      <c r="D13">
        <v>-64.150700000000001</v>
      </c>
      <c r="E13">
        <v>30</v>
      </c>
      <c r="F13" t="s">
        <v>428</v>
      </c>
      <c r="G13">
        <v>8.2000000000000007E-3</v>
      </c>
      <c r="H13">
        <v>1.5E-3</v>
      </c>
      <c r="I13">
        <v>3.3999999999999998E-3</v>
      </c>
    </row>
    <row r="14" spans="1:9">
      <c r="A14">
        <v>5</v>
      </c>
      <c r="B14" s="1">
        <v>40483</v>
      </c>
      <c r="C14">
        <v>28.384</v>
      </c>
      <c r="D14">
        <v>-64.150700000000001</v>
      </c>
      <c r="E14">
        <v>100</v>
      </c>
      <c r="F14" t="s">
        <v>428</v>
      </c>
      <c r="G14">
        <v>3.3700000000000001E-2</v>
      </c>
      <c r="H14">
        <v>6.4999999999999997E-3</v>
      </c>
      <c r="I14">
        <v>2.3800000000000002E-2</v>
      </c>
    </row>
    <row r="15" spans="1:9">
      <c r="A15">
        <v>4</v>
      </c>
      <c r="B15" s="1">
        <v>40483</v>
      </c>
      <c r="C15">
        <v>29.8825</v>
      </c>
      <c r="D15">
        <v>-64.791300000000007</v>
      </c>
      <c r="E15">
        <v>1</v>
      </c>
      <c r="F15" t="s">
        <v>428</v>
      </c>
      <c r="G15">
        <v>3.0000000000000001E-3</v>
      </c>
      <c r="H15">
        <v>1.5E-3</v>
      </c>
      <c r="I15">
        <v>1.4E-3</v>
      </c>
    </row>
    <row r="16" spans="1:9">
      <c r="A16">
        <v>4</v>
      </c>
      <c r="B16" s="1">
        <v>40483</v>
      </c>
      <c r="C16">
        <v>29.8825</v>
      </c>
      <c r="D16">
        <v>-64.791300000000007</v>
      </c>
      <c r="E16">
        <v>30</v>
      </c>
      <c r="F16" t="s">
        <v>428</v>
      </c>
      <c r="G16">
        <v>1.4800000000000001E-2</v>
      </c>
      <c r="H16" t="s">
        <v>426</v>
      </c>
      <c r="I16">
        <v>2.7000000000000001E-3</v>
      </c>
    </row>
    <row r="17" spans="1:9">
      <c r="A17">
        <v>4</v>
      </c>
      <c r="B17" s="1">
        <v>40483</v>
      </c>
      <c r="C17">
        <v>29.8825</v>
      </c>
      <c r="D17">
        <v>-64.791300000000007</v>
      </c>
      <c r="E17">
        <v>100</v>
      </c>
      <c r="F17" t="s">
        <v>428</v>
      </c>
      <c r="G17">
        <v>4.1599999999999998E-2</v>
      </c>
      <c r="H17">
        <v>4.5999999999999999E-3</v>
      </c>
      <c r="I17">
        <v>1.2E-2</v>
      </c>
    </row>
    <row r="18" spans="1:9">
      <c r="A18">
        <v>1</v>
      </c>
      <c r="B18" s="1">
        <v>40483</v>
      </c>
      <c r="C18">
        <v>33.649000000000001</v>
      </c>
      <c r="D18">
        <v>-64.173000000000002</v>
      </c>
      <c r="E18">
        <v>1</v>
      </c>
      <c r="F18" t="s">
        <v>428</v>
      </c>
      <c r="G18">
        <v>3.5000000000000001E-3</v>
      </c>
      <c r="H18">
        <v>5.0000000000000001E-4</v>
      </c>
      <c r="I18">
        <v>1E-4</v>
      </c>
    </row>
    <row r="19" spans="1:9">
      <c r="A19">
        <v>1</v>
      </c>
      <c r="B19" s="1">
        <v>40483</v>
      </c>
      <c r="C19">
        <v>33.649000000000001</v>
      </c>
      <c r="D19">
        <v>-64.173000000000002</v>
      </c>
      <c r="E19">
        <v>1</v>
      </c>
      <c r="F19" t="s">
        <v>428</v>
      </c>
      <c r="G19">
        <v>1.6999999999999999E-3</v>
      </c>
      <c r="H19">
        <v>5.0000000000000001E-4</v>
      </c>
      <c r="I19">
        <v>1E-4</v>
      </c>
    </row>
    <row r="20" spans="1:9">
      <c r="A20">
        <v>1</v>
      </c>
      <c r="B20" s="1">
        <v>40483</v>
      </c>
      <c r="C20">
        <v>33.649000000000001</v>
      </c>
      <c r="D20">
        <v>-64.173000000000002</v>
      </c>
      <c r="E20">
        <v>30</v>
      </c>
      <c r="F20" t="s">
        <v>428</v>
      </c>
      <c r="G20">
        <v>4.4000000000000003E-3</v>
      </c>
      <c r="H20">
        <v>5.0000000000000001E-4</v>
      </c>
      <c r="I20">
        <v>9.1000000000000004E-3</v>
      </c>
    </row>
    <row r="21" spans="1:9">
      <c r="A21">
        <v>1</v>
      </c>
      <c r="B21" s="1">
        <v>40483</v>
      </c>
      <c r="C21">
        <v>33.649000000000001</v>
      </c>
      <c r="D21">
        <v>-64.173000000000002</v>
      </c>
      <c r="E21">
        <v>100</v>
      </c>
      <c r="F21" t="s">
        <v>428</v>
      </c>
      <c r="G21">
        <v>8.0000000000000002E-3</v>
      </c>
      <c r="H21">
        <v>1.9E-3</v>
      </c>
      <c r="I21">
        <v>9.7999999999999997E-3</v>
      </c>
    </row>
    <row r="22" spans="1:9">
      <c r="A22">
        <v>15</v>
      </c>
      <c r="B22" s="1">
        <v>40483</v>
      </c>
      <c r="C22">
        <v>34.664999999999999</v>
      </c>
      <c r="D22">
        <v>-64.168000000000006</v>
      </c>
      <c r="E22">
        <v>1</v>
      </c>
      <c r="F22" t="s">
        <v>428</v>
      </c>
      <c r="G22">
        <v>2E-3</v>
      </c>
      <c r="H22">
        <v>8.0000000000000004E-4</v>
      </c>
      <c r="I22">
        <v>6.0000000000000001E-3</v>
      </c>
    </row>
    <row r="23" spans="1:9">
      <c r="A23">
        <v>15</v>
      </c>
      <c r="B23" s="1">
        <v>40483</v>
      </c>
      <c r="C23">
        <v>34.664999999999999</v>
      </c>
      <c r="D23">
        <v>-64.168000000000006</v>
      </c>
      <c r="E23">
        <v>30</v>
      </c>
      <c r="F23" t="s">
        <v>428</v>
      </c>
      <c r="G23" t="s">
        <v>426</v>
      </c>
      <c r="H23">
        <v>2.9999999999999997E-4</v>
      </c>
      <c r="I23">
        <v>5.9999999999999995E-4</v>
      </c>
    </row>
    <row r="24" spans="1:9">
      <c r="A24">
        <v>15</v>
      </c>
      <c r="B24" s="1">
        <v>40483</v>
      </c>
      <c r="C24">
        <v>34.664999999999999</v>
      </c>
      <c r="D24">
        <v>-64.168000000000006</v>
      </c>
      <c r="E24">
        <v>100</v>
      </c>
      <c r="F24" t="s">
        <v>428</v>
      </c>
      <c r="G24" t="s">
        <v>426</v>
      </c>
      <c r="H24">
        <v>2.0000000000000001E-4</v>
      </c>
      <c r="I24" t="s">
        <v>426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DEEA-7BEE-C24E-BC59-0F45DA89B788}">
  <dimension ref="A1:J38"/>
  <sheetViews>
    <sheetView workbookViewId="0">
      <selection activeCell="C1" sqref="A1:C1"/>
    </sheetView>
  </sheetViews>
  <sheetFormatPr baseColWidth="10" defaultRowHeight="20"/>
  <cols>
    <col min="7" max="8" width="24" bestFit="1" customWidth="1"/>
    <col min="9" max="9" width="24.42578125" bestFit="1" customWidth="1"/>
  </cols>
  <sheetData>
    <row r="1" spans="1:10">
      <c r="A1" s="1" t="s">
        <v>0</v>
      </c>
      <c r="B1" s="35" t="s">
        <v>4</v>
      </c>
      <c r="C1" s="35" t="s">
        <v>5</v>
      </c>
      <c r="D1" t="s">
        <v>54</v>
      </c>
      <c r="E1" t="s">
        <v>383</v>
      </c>
      <c r="F1" t="s">
        <v>56</v>
      </c>
      <c r="G1" t="s">
        <v>382</v>
      </c>
      <c r="H1" t="s">
        <v>380</v>
      </c>
      <c r="I1" t="s">
        <v>381</v>
      </c>
      <c r="J1" t="s">
        <v>57</v>
      </c>
    </row>
    <row r="2" spans="1:10">
      <c r="A2" s="1">
        <v>25734</v>
      </c>
      <c r="B2">
        <v>32.880000000000003</v>
      </c>
      <c r="C2">
        <v>-117.2</v>
      </c>
      <c r="D2">
        <v>1</v>
      </c>
      <c r="E2">
        <v>1</v>
      </c>
      <c r="F2">
        <v>87</v>
      </c>
      <c r="G2">
        <v>3.79</v>
      </c>
      <c r="H2">
        <v>1.1100000000000001</v>
      </c>
      <c r="I2">
        <v>2.73</v>
      </c>
      <c r="J2">
        <v>37.299999999999997</v>
      </c>
    </row>
    <row r="3" spans="1:10">
      <c r="A3" s="1">
        <v>25734</v>
      </c>
      <c r="B3">
        <v>32.880000000000003</v>
      </c>
      <c r="C3">
        <v>-117.2</v>
      </c>
      <c r="D3">
        <v>1</v>
      </c>
      <c r="E3">
        <v>5</v>
      </c>
      <c r="F3">
        <v>43</v>
      </c>
      <c r="G3">
        <v>2.91</v>
      </c>
      <c r="H3">
        <v>0.84</v>
      </c>
      <c r="I3">
        <v>2.21</v>
      </c>
      <c r="J3">
        <v>37</v>
      </c>
    </row>
    <row r="4" spans="1:10">
      <c r="A4" s="1">
        <v>25734</v>
      </c>
      <c r="B4">
        <v>32.880000000000003</v>
      </c>
      <c r="C4">
        <v>-117.2</v>
      </c>
      <c r="D4">
        <v>1</v>
      </c>
      <c r="E4">
        <v>12</v>
      </c>
      <c r="F4">
        <v>20</v>
      </c>
      <c r="G4">
        <v>2.97</v>
      </c>
      <c r="H4">
        <v>1.98</v>
      </c>
      <c r="I4">
        <v>1.31</v>
      </c>
      <c r="J4">
        <v>20.9</v>
      </c>
    </row>
    <row r="5" spans="1:10">
      <c r="A5" s="1">
        <v>25734</v>
      </c>
      <c r="B5">
        <v>32.880000000000003</v>
      </c>
      <c r="C5">
        <v>-117.2</v>
      </c>
      <c r="D5">
        <v>1</v>
      </c>
      <c r="E5">
        <v>18</v>
      </c>
      <c r="F5">
        <v>8</v>
      </c>
      <c r="G5">
        <v>2.0499999999999998</v>
      </c>
      <c r="H5">
        <v>1.33</v>
      </c>
      <c r="I5">
        <v>1.57</v>
      </c>
      <c r="J5">
        <v>31.7</v>
      </c>
    </row>
    <row r="6" spans="1:10">
      <c r="A6" s="1">
        <v>25734</v>
      </c>
      <c r="B6">
        <v>32.880000000000003</v>
      </c>
      <c r="C6">
        <v>-117.2</v>
      </c>
      <c r="D6">
        <v>1</v>
      </c>
      <c r="E6">
        <v>25</v>
      </c>
      <c r="F6">
        <v>4</v>
      </c>
      <c r="G6">
        <v>1.47</v>
      </c>
      <c r="H6">
        <v>0.8</v>
      </c>
      <c r="I6">
        <v>0.1</v>
      </c>
      <c r="J6">
        <v>3</v>
      </c>
    </row>
    <row r="7" spans="1:10">
      <c r="A7" s="1">
        <v>25734</v>
      </c>
      <c r="B7">
        <v>32.880000000000003</v>
      </c>
      <c r="C7">
        <v>-117.2</v>
      </c>
      <c r="D7">
        <v>1</v>
      </c>
      <c r="E7">
        <v>33</v>
      </c>
      <c r="F7">
        <v>1</v>
      </c>
      <c r="G7">
        <v>1.8</v>
      </c>
      <c r="H7">
        <v>3.71</v>
      </c>
      <c r="I7">
        <v>0.34</v>
      </c>
      <c r="J7">
        <v>5.8</v>
      </c>
    </row>
    <row r="8" spans="1:10">
      <c r="A8" s="1">
        <v>25734</v>
      </c>
      <c r="B8">
        <v>32.700000000000003</v>
      </c>
      <c r="C8">
        <v>-117.25</v>
      </c>
      <c r="D8">
        <v>4</v>
      </c>
      <c r="E8">
        <v>1</v>
      </c>
      <c r="F8">
        <v>87</v>
      </c>
      <c r="G8">
        <v>0.23</v>
      </c>
      <c r="H8">
        <v>7.77</v>
      </c>
      <c r="I8">
        <v>0.13</v>
      </c>
      <c r="J8">
        <v>1.6</v>
      </c>
    </row>
    <row r="9" spans="1:10">
      <c r="A9" s="1">
        <v>25734</v>
      </c>
      <c r="B9">
        <v>32.700000000000003</v>
      </c>
      <c r="C9">
        <v>-117.25</v>
      </c>
      <c r="D9">
        <v>4</v>
      </c>
      <c r="E9">
        <v>9</v>
      </c>
      <c r="F9">
        <v>43</v>
      </c>
      <c r="G9">
        <v>1.05</v>
      </c>
      <c r="H9">
        <v>3.69</v>
      </c>
      <c r="I9">
        <v>0.19</v>
      </c>
      <c r="J9">
        <v>3.9</v>
      </c>
    </row>
    <row r="10" spans="1:10">
      <c r="A10" s="1">
        <v>25734</v>
      </c>
      <c r="B10">
        <v>32.700000000000003</v>
      </c>
      <c r="C10">
        <v>-117.25</v>
      </c>
      <c r="D10">
        <v>4</v>
      </c>
      <c r="E10">
        <v>16</v>
      </c>
      <c r="F10">
        <v>20</v>
      </c>
      <c r="G10">
        <v>0.91</v>
      </c>
      <c r="H10">
        <v>4.4000000000000004</v>
      </c>
      <c r="I10">
        <v>0.54</v>
      </c>
      <c r="J10">
        <v>9.1999999999999993</v>
      </c>
    </row>
    <row r="11" spans="1:10">
      <c r="A11" s="1">
        <v>25734</v>
      </c>
      <c r="B11">
        <v>32.700000000000003</v>
      </c>
      <c r="C11">
        <v>-117.25</v>
      </c>
      <c r="D11">
        <v>4</v>
      </c>
      <c r="E11">
        <v>30</v>
      </c>
      <c r="F11">
        <v>8</v>
      </c>
      <c r="G11">
        <v>0.23</v>
      </c>
      <c r="H11">
        <v>1.39</v>
      </c>
      <c r="I11">
        <v>0.03</v>
      </c>
      <c r="J11">
        <v>0.8</v>
      </c>
    </row>
    <row r="12" spans="1:10">
      <c r="A12" s="1">
        <v>25734</v>
      </c>
      <c r="B12">
        <v>32.700000000000003</v>
      </c>
      <c r="C12">
        <v>-117.25</v>
      </c>
      <c r="D12">
        <v>4</v>
      </c>
      <c r="E12">
        <v>35</v>
      </c>
      <c r="F12">
        <v>4</v>
      </c>
      <c r="G12">
        <v>0.11</v>
      </c>
      <c r="H12">
        <v>0.82</v>
      </c>
      <c r="I12">
        <v>0.15</v>
      </c>
      <c r="J12">
        <v>6.8</v>
      </c>
    </row>
    <row r="13" spans="1:10">
      <c r="A13" s="1">
        <v>25734</v>
      </c>
      <c r="B13">
        <v>32.700000000000003</v>
      </c>
      <c r="C13">
        <v>-117.25</v>
      </c>
      <c r="D13">
        <v>4</v>
      </c>
      <c r="E13">
        <v>54</v>
      </c>
      <c r="F13">
        <v>1</v>
      </c>
      <c r="G13">
        <v>0.42</v>
      </c>
      <c r="H13">
        <v>0.28999999999999998</v>
      </c>
      <c r="I13">
        <v>0.03</v>
      </c>
      <c r="J13">
        <v>6.4</v>
      </c>
    </row>
    <row r="14" spans="1:10">
      <c r="A14" s="1">
        <v>25734</v>
      </c>
      <c r="B14">
        <v>32.880000000000003</v>
      </c>
      <c r="C14">
        <v>-117.2</v>
      </c>
      <c r="D14">
        <v>5</v>
      </c>
      <c r="E14">
        <v>1</v>
      </c>
      <c r="F14">
        <v>87</v>
      </c>
      <c r="G14">
        <v>2.2400000000000002</v>
      </c>
      <c r="H14">
        <v>1.91</v>
      </c>
      <c r="I14">
        <v>1.82</v>
      </c>
      <c r="J14">
        <v>30.5</v>
      </c>
    </row>
    <row r="15" spans="1:10">
      <c r="A15" s="1">
        <v>25734</v>
      </c>
      <c r="B15">
        <v>32.880000000000003</v>
      </c>
      <c r="C15">
        <v>-117.2</v>
      </c>
      <c r="D15">
        <v>5</v>
      </c>
      <c r="E15">
        <v>24</v>
      </c>
      <c r="F15">
        <v>8</v>
      </c>
      <c r="G15">
        <v>0.11</v>
      </c>
      <c r="H15">
        <v>3.32</v>
      </c>
      <c r="I15">
        <v>0.19</v>
      </c>
      <c r="J15">
        <v>5.3</v>
      </c>
    </row>
    <row r="16" spans="1:10">
      <c r="A16" s="1">
        <v>25734</v>
      </c>
      <c r="B16">
        <v>32.880000000000003</v>
      </c>
      <c r="C16">
        <v>-117.2</v>
      </c>
      <c r="D16">
        <v>6</v>
      </c>
      <c r="E16">
        <v>2</v>
      </c>
      <c r="F16">
        <v>87</v>
      </c>
      <c r="G16">
        <v>9.32</v>
      </c>
      <c r="H16">
        <v>0.94</v>
      </c>
      <c r="I16">
        <v>2.81</v>
      </c>
      <c r="J16">
        <v>21.5</v>
      </c>
    </row>
    <row r="17" spans="1:10">
      <c r="A17" s="1">
        <v>25734</v>
      </c>
      <c r="B17">
        <v>32.880000000000003</v>
      </c>
      <c r="C17">
        <v>-117.2</v>
      </c>
      <c r="D17">
        <v>6</v>
      </c>
      <c r="E17">
        <v>7</v>
      </c>
      <c r="F17">
        <v>43</v>
      </c>
      <c r="G17">
        <v>3.43</v>
      </c>
      <c r="H17">
        <v>1.06</v>
      </c>
      <c r="I17">
        <v>3.09</v>
      </c>
      <c r="J17">
        <v>40.799999999999997</v>
      </c>
    </row>
    <row r="18" spans="1:10">
      <c r="A18" s="1">
        <v>25734</v>
      </c>
      <c r="B18">
        <v>32.880000000000003</v>
      </c>
      <c r="C18">
        <v>-117.2</v>
      </c>
      <c r="D18">
        <v>6</v>
      </c>
      <c r="E18">
        <v>13</v>
      </c>
      <c r="F18">
        <v>20</v>
      </c>
      <c r="G18">
        <v>2.21</v>
      </c>
      <c r="H18">
        <v>1.64</v>
      </c>
      <c r="I18">
        <v>2.08</v>
      </c>
      <c r="J18">
        <v>35.1</v>
      </c>
    </row>
    <row r="19" spans="1:10">
      <c r="A19" s="1">
        <v>25734</v>
      </c>
      <c r="B19">
        <v>32.880000000000003</v>
      </c>
      <c r="C19">
        <v>-117.2</v>
      </c>
      <c r="D19">
        <v>6</v>
      </c>
      <c r="E19">
        <v>16</v>
      </c>
      <c r="F19">
        <v>8</v>
      </c>
      <c r="G19">
        <v>0.56000000000000005</v>
      </c>
      <c r="H19">
        <v>1.68</v>
      </c>
      <c r="I19">
        <v>2.93</v>
      </c>
      <c r="J19">
        <v>56.7</v>
      </c>
    </row>
    <row r="20" spans="1:10">
      <c r="A20" s="1">
        <v>25734</v>
      </c>
      <c r="B20">
        <v>32.880000000000003</v>
      </c>
      <c r="C20">
        <v>-117.2</v>
      </c>
      <c r="D20">
        <v>6</v>
      </c>
      <c r="E20">
        <v>23</v>
      </c>
      <c r="F20">
        <v>4</v>
      </c>
      <c r="G20">
        <v>0.32</v>
      </c>
      <c r="H20">
        <v>1.89</v>
      </c>
      <c r="I20">
        <v>0.51</v>
      </c>
      <c r="J20">
        <v>18.8</v>
      </c>
    </row>
    <row r="21" spans="1:10">
      <c r="A21" s="1">
        <v>25734</v>
      </c>
      <c r="B21">
        <v>32.880000000000003</v>
      </c>
      <c r="C21">
        <v>-117.2</v>
      </c>
      <c r="D21">
        <v>6</v>
      </c>
      <c r="E21">
        <v>30</v>
      </c>
      <c r="F21">
        <v>1</v>
      </c>
      <c r="G21">
        <v>0.38</v>
      </c>
      <c r="H21">
        <v>1.61</v>
      </c>
      <c r="I21">
        <v>0.61</v>
      </c>
      <c r="J21">
        <v>24.1</v>
      </c>
    </row>
    <row r="22" spans="1:10">
      <c r="A22" s="1">
        <v>25734</v>
      </c>
      <c r="B22">
        <v>32.880000000000003</v>
      </c>
      <c r="C22">
        <v>-117.2</v>
      </c>
      <c r="D22">
        <v>7</v>
      </c>
      <c r="E22">
        <v>1</v>
      </c>
      <c r="F22">
        <v>87</v>
      </c>
      <c r="G22">
        <v>1.29</v>
      </c>
      <c r="H22">
        <v>3.19</v>
      </c>
      <c r="I22">
        <v>1.82</v>
      </c>
      <c r="J22">
        <v>28.9</v>
      </c>
    </row>
    <row r="23" spans="1:10">
      <c r="A23" s="1">
        <v>25734</v>
      </c>
      <c r="B23">
        <v>32.880000000000003</v>
      </c>
      <c r="C23">
        <v>-117.2</v>
      </c>
      <c r="D23">
        <v>7</v>
      </c>
      <c r="E23">
        <v>12</v>
      </c>
      <c r="F23">
        <v>20</v>
      </c>
      <c r="G23">
        <v>2.65</v>
      </c>
      <c r="H23">
        <v>1.55</v>
      </c>
      <c r="I23">
        <v>0.56999999999999995</v>
      </c>
      <c r="J23">
        <v>11.9</v>
      </c>
    </row>
    <row r="24" spans="1:10">
      <c r="A24" s="1">
        <v>25734</v>
      </c>
      <c r="B24">
        <v>32.880000000000003</v>
      </c>
      <c r="C24">
        <v>-117.2</v>
      </c>
      <c r="D24">
        <v>10</v>
      </c>
      <c r="E24">
        <v>0</v>
      </c>
      <c r="F24">
        <v>87</v>
      </c>
      <c r="G24">
        <v>1.0900000000000001</v>
      </c>
      <c r="H24">
        <v>1.98</v>
      </c>
      <c r="I24">
        <v>4.24</v>
      </c>
      <c r="J24">
        <v>58</v>
      </c>
    </row>
    <row r="25" spans="1:10">
      <c r="A25" s="1">
        <v>25734</v>
      </c>
      <c r="B25">
        <v>32.880000000000003</v>
      </c>
      <c r="C25">
        <v>-117.2</v>
      </c>
      <c r="D25">
        <v>10</v>
      </c>
      <c r="E25">
        <v>4</v>
      </c>
      <c r="F25">
        <v>43</v>
      </c>
      <c r="G25">
        <v>4.2300000000000004</v>
      </c>
      <c r="H25">
        <v>1.1299999999999999</v>
      </c>
      <c r="I25">
        <v>2.82</v>
      </c>
      <c r="J25">
        <v>34.5</v>
      </c>
    </row>
    <row r="26" spans="1:10">
      <c r="A26" s="1">
        <v>25734</v>
      </c>
      <c r="B26">
        <v>32.880000000000003</v>
      </c>
      <c r="C26">
        <v>-117.2</v>
      </c>
      <c r="D26">
        <v>10</v>
      </c>
      <c r="E26">
        <v>10</v>
      </c>
      <c r="F26">
        <v>20</v>
      </c>
      <c r="G26">
        <v>1.04</v>
      </c>
      <c r="H26">
        <v>1.6</v>
      </c>
      <c r="I26">
        <v>4.79</v>
      </c>
      <c r="J26">
        <v>64.5</v>
      </c>
    </row>
    <row r="27" spans="1:10">
      <c r="A27" s="1">
        <v>25734</v>
      </c>
      <c r="B27">
        <v>32.880000000000003</v>
      </c>
      <c r="C27">
        <v>-117.2</v>
      </c>
      <c r="D27">
        <v>10</v>
      </c>
      <c r="E27">
        <v>20</v>
      </c>
      <c r="F27">
        <v>8</v>
      </c>
      <c r="G27">
        <v>0.73</v>
      </c>
      <c r="H27">
        <v>1.79</v>
      </c>
      <c r="I27">
        <v>3.58</v>
      </c>
      <c r="J27">
        <v>58.6</v>
      </c>
    </row>
    <row r="28" spans="1:10">
      <c r="A28" s="1">
        <v>25734</v>
      </c>
      <c r="B28">
        <v>32.880000000000003</v>
      </c>
      <c r="C28">
        <v>-117.2</v>
      </c>
      <c r="D28">
        <v>10</v>
      </c>
      <c r="E28">
        <v>30</v>
      </c>
      <c r="F28">
        <v>4</v>
      </c>
      <c r="G28">
        <v>0.31</v>
      </c>
      <c r="H28">
        <v>1.66</v>
      </c>
      <c r="I28">
        <v>0.85</v>
      </c>
      <c r="J28">
        <v>30.1</v>
      </c>
    </row>
    <row r="29" spans="1:10">
      <c r="A29" s="1">
        <v>25734</v>
      </c>
      <c r="B29">
        <v>32.880000000000003</v>
      </c>
      <c r="C29">
        <v>-117.2</v>
      </c>
      <c r="D29">
        <v>10</v>
      </c>
      <c r="E29">
        <v>45</v>
      </c>
      <c r="F29">
        <v>1</v>
      </c>
      <c r="G29">
        <v>0.3</v>
      </c>
      <c r="H29">
        <v>2.65</v>
      </c>
      <c r="I29">
        <v>0.56000000000000005</v>
      </c>
      <c r="J29">
        <v>16</v>
      </c>
    </row>
    <row r="30" spans="1:10">
      <c r="A30" s="1">
        <v>25734</v>
      </c>
      <c r="B30">
        <v>32.549999999999997</v>
      </c>
      <c r="C30">
        <v>-117.2</v>
      </c>
      <c r="D30">
        <v>11</v>
      </c>
      <c r="E30">
        <v>0</v>
      </c>
      <c r="F30">
        <v>87</v>
      </c>
      <c r="G30">
        <v>6.29</v>
      </c>
      <c r="H30">
        <v>1.01</v>
      </c>
      <c r="I30">
        <v>2</v>
      </c>
      <c r="J30">
        <v>21.5</v>
      </c>
    </row>
    <row r="31" spans="1:10">
      <c r="A31" s="1">
        <v>25734</v>
      </c>
      <c r="B31">
        <v>32.6</v>
      </c>
      <c r="C31">
        <v>-117.25</v>
      </c>
      <c r="D31">
        <v>12</v>
      </c>
      <c r="E31">
        <v>1</v>
      </c>
      <c r="F31">
        <v>87</v>
      </c>
      <c r="G31">
        <v>5.15</v>
      </c>
      <c r="H31">
        <v>0.96</v>
      </c>
      <c r="I31">
        <v>2.2400000000000002</v>
      </c>
      <c r="J31">
        <v>26.8</v>
      </c>
    </row>
    <row r="32" spans="1:10">
      <c r="A32" s="1">
        <v>25734</v>
      </c>
      <c r="B32">
        <v>33.75</v>
      </c>
      <c r="C32">
        <v>-118.2</v>
      </c>
      <c r="D32">
        <v>19</v>
      </c>
      <c r="E32">
        <v>1</v>
      </c>
      <c r="F32">
        <v>87</v>
      </c>
      <c r="G32">
        <v>3.09</v>
      </c>
      <c r="H32">
        <v>0.86</v>
      </c>
      <c r="I32">
        <v>2.35</v>
      </c>
      <c r="J32">
        <v>37.299999999999997</v>
      </c>
    </row>
    <row r="33" spans="1:10">
      <c r="A33" s="1">
        <v>25734</v>
      </c>
      <c r="B33">
        <v>33.75</v>
      </c>
      <c r="C33">
        <v>-118.2</v>
      </c>
      <c r="D33">
        <v>19</v>
      </c>
      <c r="E33">
        <v>3</v>
      </c>
      <c r="F33">
        <v>43</v>
      </c>
      <c r="G33">
        <v>3.27</v>
      </c>
      <c r="H33">
        <v>0.86</v>
      </c>
      <c r="I33">
        <v>0.77</v>
      </c>
      <c r="J33">
        <v>15.7</v>
      </c>
    </row>
    <row r="34" spans="1:10">
      <c r="A34" s="1">
        <v>25734</v>
      </c>
      <c r="B34">
        <v>33.75</v>
      </c>
      <c r="C34">
        <v>-118.2</v>
      </c>
      <c r="D34">
        <v>19</v>
      </c>
      <c r="E34">
        <v>6</v>
      </c>
      <c r="F34">
        <v>20</v>
      </c>
      <c r="G34">
        <v>2.3199999999999998</v>
      </c>
      <c r="H34">
        <v>0.98</v>
      </c>
      <c r="I34">
        <v>0.52</v>
      </c>
      <c r="J34">
        <v>20.8</v>
      </c>
    </row>
    <row r="35" spans="1:10">
      <c r="A35" s="1">
        <v>25734</v>
      </c>
      <c r="B35">
        <v>33.75</v>
      </c>
      <c r="C35">
        <v>-118.2</v>
      </c>
      <c r="D35">
        <v>19</v>
      </c>
      <c r="E35">
        <v>9</v>
      </c>
      <c r="F35">
        <v>8</v>
      </c>
      <c r="G35">
        <v>2.38</v>
      </c>
      <c r="H35">
        <v>1.1299999999999999</v>
      </c>
      <c r="I35">
        <v>0.46</v>
      </c>
      <c r="J35">
        <v>11.8</v>
      </c>
    </row>
    <row r="36" spans="1:10">
      <c r="A36" s="1">
        <v>25734</v>
      </c>
      <c r="B36">
        <v>33.75</v>
      </c>
      <c r="C36">
        <v>-118.2</v>
      </c>
      <c r="D36">
        <v>19</v>
      </c>
      <c r="E36">
        <v>12</v>
      </c>
      <c r="F36">
        <v>4</v>
      </c>
      <c r="G36">
        <v>1.02</v>
      </c>
      <c r="H36">
        <v>0.75</v>
      </c>
      <c r="I36">
        <v>0.56000000000000005</v>
      </c>
      <c r="J36">
        <v>24</v>
      </c>
    </row>
    <row r="37" spans="1:10">
      <c r="A37" s="1">
        <v>25734</v>
      </c>
      <c r="B37">
        <v>33.75</v>
      </c>
      <c r="C37">
        <v>-118.2</v>
      </c>
      <c r="D37">
        <v>19</v>
      </c>
      <c r="E37">
        <v>15</v>
      </c>
      <c r="F37">
        <v>1</v>
      </c>
      <c r="G37">
        <v>1.39</v>
      </c>
      <c r="H37">
        <v>1.1499999999999999</v>
      </c>
      <c r="I37">
        <v>0.66</v>
      </c>
      <c r="J37">
        <v>20.6</v>
      </c>
    </row>
    <row r="38" spans="1:10">
      <c r="G38">
        <f>AVERAGE(G2:G37)</f>
        <v>2.0294444444444442</v>
      </c>
      <c r="H38">
        <f>AVERAGE(H2:H37)</f>
        <v>1.8174999999999999</v>
      </c>
      <c r="I38">
        <f>AVERAGE(I2:I37)</f>
        <v>1.4488888888888891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D048-8B63-154C-A87E-5CD8DFEFB108}">
  <dimension ref="A1:M39"/>
  <sheetViews>
    <sheetView workbookViewId="0">
      <selection activeCell="L1" sqref="L1:L1048576"/>
    </sheetView>
  </sheetViews>
  <sheetFormatPr baseColWidth="10" defaultRowHeight="20"/>
  <cols>
    <col min="1" max="1" width="4.85546875" bestFit="1" customWidth="1"/>
    <col min="2" max="2" width="9.5703125" bestFit="1" customWidth="1"/>
    <col min="3" max="4" width="4.85546875" customWidth="1"/>
    <col min="5" max="5" width="9.85546875" bestFit="1" customWidth="1"/>
    <col min="6" max="6" width="42.7109375" bestFit="1" customWidth="1"/>
    <col min="7" max="7" width="28" bestFit="1" customWidth="1"/>
    <col min="8" max="8" width="28.5703125" bestFit="1" customWidth="1"/>
    <col min="9" max="9" width="27.85546875" bestFit="1" customWidth="1"/>
    <col min="10" max="10" width="39" bestFit="1" customWidth="1"/>
    <col min="11" max="11" width="28.5703125" bestFit="1" customWidth="1"/>
    <col min="12" max="12" width="27.85546875" bestFit="1" customWidth="1"/>
  </cols>
  <sheetData>
    <row r="1" spans="1:13">
      <c r="A1" t="s">
        <v>58</v>
      </c>
      <c r="B1" s="36" t="s">
        <v>419</v>
      </c>
      <c r="C1" s="20" t="s">
        <v>4</v>
      </c>
      <c r="D1" s="20" t="s">
        <v>5</v>
      </c>
      <c r="E1" t="s">
        <v>383</v>
      </c>
      <c r="F1" t="s">
        <v>59</v>
      </c>
      <c r="G1" s="10" t="s">
        <v>53</v>
      </c>
      <c r="H1" s="8" t="s">
        <v>52</v>
      </c>
      <c r="I1" s="7" t="s">
        <v>421</v>
      </c>
      <c r="J1" t="s">
        <v>60</v>
      </c>
      <c r="K1" t="s">
        <v>61</v>
      </c>
      <c r="L1" t="s">
        <v>62</v>
      </c>
      <c r="M1" t="s">
        <v>63</v>
      </c>
    </row>
    <row r="2" spans="1:13">
      <c r="A2">
        <v>1</v>
      </c>
      <c r="B2" s="36">
        <v>26239</v>
      </c>
      <c r="C2" s="20">
        <v>30.67</v>
      </c>
      <c r="D2" s="20">
        <v>-143</v>
      </c>
      <c r="E2">
        <v>1</v>
      </c>
      <c r="F2">
        <v>1.3</v>
      </c>
      <c r="G2">
        <f>J2/1000/24</f>
        <v>5.8333333333333338E-4</v>
      </c>
      <c r="H2">
        <f t="shared" ref="H2:I17" si="0">K2/1000/24</f>
        <v>7.9166666666666665E-4</v>
      </c>
      <c r="I2">
        <f t="shared" si="0"/>
        <v>0</v>
      </c>
      <c r="J2">
        <v>14</v>
      </c>
      <c r="K2">
        <v>19</v>
      </c>
      <c r="L2">
        <v>0</v>
      </c>
      <c r="M2">
        <v>33</v>
      </c>
    </row>
    <row r="3" spans="1:13">
      <c r="A3">
        <v>1</v>
      </c>
      <c r="B3" s="36">
        <v>26239</v>
      </c>
      <c r="C3" s="20">
        <v>30.67</v>
      </c>
      <c r="D3" s="20">
        <v>-143</v>
      </c>
      <c r="E3">
        <v>30</v>
      </c>
      <c r="F3">
        <v>1.2</v>
      </c>
      <c r="G3">
        <f t="shared" ref="G3:G18" si="1">J3/1000/24</f>
        <v>7.4999999999999991E-4</v>
      </c>
      <c r="H3">
        <f t="shared" si="0"/>
        <v>2.3333333333333333E-4</v>
      </c>
      <c r="I3">
        <f t="shared" si="0"/>
        <v>0</v>
      </c>
      <c r="J3">
        <v>18</v>
      </c>
      <c r="K3">
        <v>5.6</v>
      </c>
      <c r="L3">
        <v>0</v>
      </c>
      <c r="M3">
        <v>23.6</v>
      </c>
    </row>
    <row r="4" spans="1:13">
      <c r="A4">
        <v>1</v>
      </c>
      <c r="B4" s="36">
        <v>26239</v>
      </c>
      <c r="C4" s="20">
        <v>30.67</v>
      </c>
      <c r="D4" s="20">
        <v>-143</v>
      </c>
      <c r="E4">
        <v>60</v>
      </c>
      <c r="F4">
        <v>1.4</v>
      </c>
      <c r="G4">
        <f t="shared" si="1"/>
        <v>8.3333333333333331E-5</v>
      </c>
      <c r="H4">
        <f t="shared" si="0"/>
        <v>5.0000000000000001E-4</v>
      </c>
      <c r="I4">
        <f t="shared" si="0"/>
        <v>0</v>
      </c>
      <c r="J4">
        <v>2</v>
      </c>
      <c r="K4">
        <v>12</v>
      </c>
      <c r="L4">
        <v>0</v>
      </c>
      <c r="M4">
        <v>14</v>
      </c>
    </row>
    <row r="5" spans="1:13">
      <c r="A5">
        <v>1</v>
      </c>
      <c r="B5" s="36">
        <v>26239</v>
      </c>
      <c r="C5" s="20">
        <v>30.67</v>
      </c>
      <c r="D5" s="20">
        <v>-143</v>
      </c>
      <c r="E5">
        <v>90</v>
      </c>
      <c r="F5">
        <v>1.1000000000000001</v>
      </c>
      <c r="G5">
        <f t="shared" si="1"/>
        <v>1.4583333333333335E-4</v>
      </c>
      <c r="H5">
        <f t="shared" si="0"/>
        <v>7.9166666666666665E-4</v>
      </c>
      <c r="I5">
        <f t="shared" si="0"/>
        <v>0</v>
      </c>
      <c r="J5">
        <v>3.5</v>
      </c>
      <c r="K5">
        <v>19</v>
      </c>
      <c r="L5">
        <v>0</v>
      </c>
      <c r="M5">
        <v>22.5</v>
      </c>
    </row>
    <row r="6" spans="1:13">
      <c r="A6">
        <v>1</v>
      </c>
      <c r="B6" s="36">
        <v>26239</v>
      </c>
      <c r="C6" s="20">
        <v>30.67</v>
      </c>
      <c r="D6" s="20">
        <v>-143</v>
      </c>
      <c r="E6">
        <v>120</v>
      </c>
      <c r="F6">
        <v>0.4</v>
      </c>
      <c r="G6">
        <f t="shared" si="1"/>
        <v>1.4166666666666665E-4</v>
      </c>
      <c r="H6">
        <f t="shared" si="0"/>
        <v>2.833333333333333E-4</v>
      </c>
      <c r="I6">
        <f t="shared" si="0"/>
        <v>6.2500000000000001E-4</v>
      </c>
      <c r="J6">
        <v>3.4</v>
      </c>
      <c r="K6">
        <v>6.8</v>
      </c>
      <c r="L6">
        <v>15</v>
      </c>
      <c r="M6">
        <v>25.2</v>
      </c>
    </row>
    <row r="7" spans="1:13">
      <c r="A7">
        <v>1</v>
      </c>
      <c r="B7" s="36">
        <v>26239</v>
      </c>
      <c r="C7" s="20">
        <v>30.67</v>
      </c>
      <c r="D7" s="20">
        <v>-143</v>
      </c>
      <c r="E7">
        <v>150</v>
      </c>
      <c r="F7">
        <v>0.1</v>
      </c>
      <c r="G7">
        <f t="shared" si="1"/>
        <v>3.9999999999999996E-4</v>
      </c>
      <c r="H7">
        <f t="shared" si="0"/>
        <v>8.7500000000000002E-4</v>
      </c>
      <c r="I7">
        <f t="shared" si="0"/>
        <v>2.833333333333333E-4</v>
      </c>
      <c r="J7">
        <v>9.6</v>
      </c>
      <c r="K7">
        <v>21</v>
      </c>
      <c r="L7">
        <v>6.8</v>
      </c>
      <c r="M7">
        <v>37.4</v>
      </c>
    </row>
    <row r="8" spans="1:13">
      <c r="A8">
        <v>2</v>
      </c>
      <c r="B8" s="36">
        <v>26239</v>
      </c>
      <c r="C8" s="20">
        <v>30.75</v>
      </c>
      <c r="D8" s="20">
        <v>-147.35</v>
      </c>
      <c r="E8">
        <v>1</v>
      </c>
      <c r="F8">
        <v>2.2000000000000002</v>
      </c>
      <c r="G8">
        <f t="shared" si="1"/>
        <v>8.3333333333333339E-4</v>
      </c>
      <c r="H8">
        <f t="shared" si="0"/>
        <v>1.2916666666666667E-3</v>
      </c>
      <c r="I8">
        <f t="shared" si="0"/>
        <v>0</v>
      </c>
      <c r="J8">
        <v>20</v>
      </c>
      <c r="K8">
        <v>31</v>
      </c>
      <c r="L8">
        <v>0</v>
      </c>
      <c r="M8">
        <v>51</v>
      </c>
    </row>
    <row r="9" spans="1:13">
      <c r="A9">
        <v>2</v>
      </c>
      <c r="B9" s="36">
        <v>26239</v>
      </c>
      <c r="C9" s="20">
        <v>30.75</v>
      </c>
      <c r="D9" s="20">
        <v>-147.35</v>
      </c>
      <c r="E9">
        <v>30</v>
      </c>
      <c r="F9">
        <v>2.5</v>
      </c>
      <c r="G9">
        <f t="shared" si="1"/>
        <v>5.4166666666666664E-4</v>
      </c>
      <c r="H9">
        <f t="shared" si="0"/>
        <v>1.0833333333333333E-3</v>
      </c>
      <c r="I9">
        <f t="shared" si="0"/>
        <v>0</v>
      </c>
      <c r="J9">
        <v>13</v>
      </c>
      <c r="K9">
        <v>26</v>
      </c>
      <c r="L9">
        <v>0</v>
      </c>
      <c r="M9">
        <v>39</v>
      </c>
    </row>
    <row r="10" spans="1:13">
      <c r="A10">
        <v>2</v>
      </c>
      <c r="B10" s="36">
        <v>26239</v>
      </c>
      <c r="C10" s="20">
        <v>30.75</v>
      </c>
      <c r="D10" s="20">
        <v>-147.35</v>
      </c>
      <c r="E10">
        <v>57</v>
      </c>
      <c r="F10">
        <v>2</v>
      </c>
      <c r="G10">
        <f t="shared" si="1"/>
        <v>8.3333333333333339E-4</v>
      </c>
      <c r="H10">
        <f t="shared" si="0"/>
        <v>3.5000000000000005E-4</v>
      </c>
      <c r="I10">
        <f t="shared" si="0"/>
        <v>0</v>
      </c>
      <c r="J10">
        <v>20</v>
      </c>
      <c r="K10">
        <v>8.4</v>
      </c>
      <c r="L10">
        <v>0</v>
      </c>
      <c r="M10">
        <v>28.4</v>
      </c>
    </row>
    <row r="11" spans="1:13">
      <c r="A11">
        <v>2</v>
      </c>
      <c r="B11" s="36">
        <v>26239</v>
      </c>
      <c r="C11" s="20">
        <v>30.75</v>
      </c>
      <c r="D11" s="20">
        <v>-147.35</v>
      </c>
      <c r="E11">
        <v>87</v>
      </c>
      <c r="F11">
        <v>2.6</v>
      </c>
      <c r="G11">
        <f t="shared" si="1"/>
        <v>3.2083333333333334E-4</v>
      </c>
      <c r="H11">
        <f t="shared" si="0"/>
        <v>4.5833333333333332E-4</v>
      </c>
      <c r="I11">
        <f t="shared" si="0"/>
        <v>0</v>
      </c>
      <c r="J11">
        <v>7.7</v>
      </c>
      <c r="K11">
        <v>11</v>
      </c>
      <c r="L11">
        <v>0</v>
      </c>
      <c r="M11">
        <v>18.7</v>
      </c>
    </row>
    <row r="12" spans="1:13">
      <c r="A12">
        <v>2</v>
      </c>
      <c r="B12" s="36">
        <v>26239</v>
      </c>
      <c r="C12" s="20">
        <v>30.75</v>
      </c>
      <c r="D12" s="20">
        <v>-147.35</v>
      </c>
      <c r="E12">
        <v>108</v>
      </c>
      <c r="F12">
        <v>1.1000000000000001</v>
      </c>
      <c r="G12">
        <f t="shared" si="1"/>
        <v>4.1666666666666669E-4</v>
      </c>
      <c r="H12">
        <f t="shared" si="0"/>
        <v>1.4999999999999999E-4</v>
      </c>
      <c r="I12">
        <f t="shared" si="0"/>
        <v>0</v>
      </c>
      <c r="J12">
        <v>10</v>
      </c>
      <c r="K12">
        <v>3.6</v>
      </c>
      <c r="L12">
        <v>0</v>
      </c>
      <c r="M12">
        <v>13.6</v>
      </c>
    </row>
    <row r="13" spans="1:13">
      <c r="A13">
        <v>2</v>
      </c>
      <c r="B13" s="36">
        <v>26239</v>
      </c>
      <c r="C13" s="20">
        <v>30.75</v>
      </c>
      <c r="D13" s="20">
        <v>-147.35</v>
      </c>
      <c r="E13">
        <v>123</v>
      </c>
      <c r="F13">
        <v>0.3</v>
      </c>
      <c r="G13">
        <f t="shared" si="1"/>
        <v>1.1666666666666668E-3</v>
      </c>
      <c r="H13">
        <f t="shared" si="0"/>
        <v>2.375E-4</v>
      </c>
      <c r="I13">
        <f t="shared" si="0"/>
        <v>0</v>
      </c>
      <c r="J13">
        <v>28</v>
      </c>
      <c r="K13">
        <v>5.7</v>
      </c>
      <c r="L13">
        <v>0</v>
      </c>
      <c r="M13">
        <v>33.700000000000003</v>
      </c>
    </row>
    <row r="14" spans="1:13">
      <c r="A14">
        <v>3</v>
      </c>
      <c r="B14" s="36">
        <v>26239</v>
      </c>
      <c r="C14" s="20">
        <v>31.75</v>
      </c>
      <c r="D14" s="20">
        <v>-136.72999999999999</v>
      </c>
      <c r="E14">
        <v>1</v>
      </c>
      <c r="F14">
        <v>4.4000000000000004</v>
      </c>
      <c r="G14">
        <f t="shared" si="1"/>
        <v>1.2083333333333334E-3</v>
      </c>
      <c r="H14">
        <f t="shared" si="0"/>
        <v>1.1249999999999999E-3</v>
      </c>
      <c r="I14">
        <f t="shared" si="0"/>
        <v>0</v>
      </c>
      <c r="J14">
        <v>29</v>
      </c>
      <c r="K14">
        <v>27</v>
      </c>
      <c r="L14">
        <v>0</v>
      </c>
      <c r="M14">
        <v>56</v>
      </c>
    </row>
    <row r="15" spans="1:13">
      <c r="A15">
        <v>3</v>
      </c>
      <c r="B15" s="36">
        <v>26239</v>
      </c>
      <c r="C15" s="20">
        <v>31.75</v>
      </c>
      <c r="D15" s="20">
        <v>-136.72999999999999</v>
      </c>
      <c r="E15">
        <v>30</v>
      </c>
      <c r="F15">
        <v>1.8</v>
      </c>
      <c r="G15">
        <f t="shared" si="1"/>
        <v>8.3333333333333339E-4</v>
      </c>
      <c r="H15">
        <f t="shared" si="0"/>
        <v>4.1666666666666669E-4</v>
      </c>
      <c r="I15">
        <f t="shared" si="0"/>
        <v>0</v>
      </c>
      <c r="J15">
        <v>20</v>
      </c>
      <c r="K15">
        <v>10</v>
      </c>
      <c r="L15">
        <v>0</v>
      </c>
      <c r="M15">
        <v>30</v>
      </c>
    </row>
    <row r="16" spans="1:13">
      <c r="A16">
        <v>3</v>
      </c>
      <c r="B16" s="36">
        <v>26239</v>
      </c>
      <c r="C16" s="20">
        <v>31.75</v>
      </c>
      <c r="D16" s="20">
        <v>-136.72999999999999</v>
      </c>
      <c r="E16">
        <v>60</v>
      </c>
      <c r="F16">
        <v>2.5</v>
      </c>
      <c r="G16">
        <f t="shared" si="1"/>
        <v>4.1666666666666669E-4</v>
      </c>
      <c r="H16">
        <f t="shared" si="0"/>
        <v>0</v>
      </c>
      <c r="I16">
        <f t="shared" si="0"/>
        <v>0</v>
      </c>
      <c r="J16">
        <v>10</v>
      </c>
      <c r="K16">
        <v>0</v>
      </c>
      <c r="L16">
        <v>0</v>
      </c>
      <c r="M16">
        <v>10</v>
      </c>
    </row>
    <row r="17" spans="1:13">
      <c r="A17">
        <v>3</v>
      </c>
      <c r="B17" s="36">
        <v>26239</v>
      </c>
      <c r="C17" s="20">
        <v>31.75</v>
      </c>
      <c r="D17" s="20">
        <v>-136.72999999999999</v>
      </c>
      <c r="E17">
        <v>90</v>
      </c>
      <c r="F17">
        <v>1.8</v>
      </c>
      <c r="G17">
        <f t="shared" si="1"/>
        <v>6.2500000000000001E-4</v>
      </c>
      <c r="H17">
        <f t="shared" si="0"/>
        <v>1.4999999999999999E-4</v>
      </c>
      <c r="I17">
        <f t="shared" si="0"/>
        <v>0</v>
      </c>
      <c r="J17">
        <v>15</v>
      </c>
      <c r="K17">
        <v>3.6</v>
      </c>
      <c r="L17">
        <v>0</v>
      </c>
      <c r="M17">
        <v>18.600000000000001</v>
      </c>
    </row>
    <row r="18" spans="1:13">
      <c r="A18">
        <v>3</v>
      </c>
      <c r="B18" s="36">
        <v>26239</v>
      </c>
      <c r="C18" s="20">
        <v>31.75</v>
      </c>
      <c r="D18" s="20">
        <v>-136.72999999999999</v>
      </c>
      <c r="E18">
        <v>120</v>
      </c>
      <c r="F18">
        <v>1.3</v>
      </c>
      <c r="G18">
        <f t="shared" si="1"/>
        <v>4.1666666666666669E-4</v>
      </c>
      <c r="H18" t="e">
        <f t="shared" ref="H18" si="2">K18/1000/24</f>
        <v>#VALUE!</v>
      </c>
      <c r="I18">
        <f t="shared" ref="I18" si="3">L18/1000/24</f>
        <v>0</v>
      </c>
      <c r="J18">
        <v>10</v>
      </c>
      <c r="K18" t="s">
        <v>64</v>
      </c>
      <c r="L18">
        <v>0</v>
      </c>
      <c r="M18">
        <v>10</v>
      </c>
    </row>
    <row r="19" spans="1:13">
      <c r="B19" s="36"/>
      <c r="C19" s="20"/>
      <c r="D19" s="20"/>
    </row>
    <row r="22" spans="1:13">
      <c r="F22" s="36"/>
      <c r="G22" s="20"/>
      <c r="H22" s="20"/>
    </row>
    <row r="23" spans="1:13">
      <c r="F23" s="36"/>
      <c r="G23" s="20"/>
      <c r="H23" s="20"/>
    </row>
    <row r="24" spans="1:13">
      <c r="F24" s="36"/>
      <c r="G24" s="20"/>
      <c r="H24" s="20"/>
    </row>
    <row r="25" spans="1:13">
      <c r="F25" s="36"/>
      <c r="G25" s="20"/>
      <c r="H25" s="20"/>
    </row>
    <row r="26" spans="1:13">
      <c r="F26" s="36"/>
      <c r="G26" s="20"/>
      <c r="H26" s="20"/>
    </row>
    <row r="27" spans="1:13">
      <c r="F27" s="36"/>
      <c r="G27" s="10"/>
      <c r="H27" s="8"/>
    </row>
    <row r="28" spans="1:13">
      <c r="F28" s="36"/>
      <c r="G28" s="20"/>
      <c r="H28" s="20"/>
    </row>
    <row r="29" spans="1:13">
      <c r="F29" s="36"/>
      <c r="G29" s="20"/>
      <c r="H29" s="20"/>
    </row>
    <row r="30" spans="1:13">
      <c r="F30" s="36"/>
      <c r="G30" s="20"/>
      <c r="H30" s="20"/>
    </row>
    <row r="31" spans="1:13">
      <c r="F31" s="36"/>
      <c r="G31" s="20"/>
      <c r="H31" s="20"/>
    </row>
    <row r="32" spans="1:13">
      <c r="F32" s="36"/>
      <c r="G32" s="20"/>
      <c r="H32" s="20"/>
    </row>
    <row r="33" spans="6:8">
      <c r="F33" s="36"/>
      <c r="G33" s="20"/>
      <c r="H33" s="20"/>
    </row>
    <row r="34" spans="6:8">
      <c r="F34" s="36"/>
      <c r="G34" s="20"/>
      <c r="H34" s="20"/>
    </row>
    <row r="35" spans="6:8">
      <c r="F35" s="36"/>
      <c r="G35" s="20"/>
      <c r="H35" s="20"/>
    </row>
    <row r="36" spans="6:8">
      <c r="F36" s="36"/>
      <c r="G36" s="20"/>
      <c r="H36" s="20"/>
    </row>
    <row r="37" spans="6:8">
      <c r="F37" s="36"/>
      <c r="G37" s="20"/>
      <c r="H37" s="20"/>
    </row>
    <row r="38" spans="6:8">
      <c r="F38" s="36"/>
      <c r="G38" s="20"/>
      <c r="H38" s="20"/>
    </row>
    <row r="39" spans="6:8">
      <c r="F39" s="36"/>
      <c r="G39" s="20"/>
      <c r="H39" s="20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CF6C-37C9-1B4F-AFA0-C723BD1B62D2}">
  <dimension ref="A1:N43"/>
  <sheetViews>
    <sheetView zoomScale="64" workbookViewId="0">
      <selection activeCell="G1" sqref="G1:I1"/>
    </sheetView>
  </sheetViews>
  <sheetFormatPr baseColWidth="10" defaultRowHeight="20"/>
  <cols>
    <col min="1" max="1" width="20.42578125" bestFit="1" customWidth="1"/>
    <col min="2" max="2" width="18.5703125" bestFit="1" customWidth="1"/>
    <col min="3" max="3" width="11.42578125" bestFit="1" customWidth="1"/>
    <col min="4" max="4" width="12.7109375" bestFit="1" customWidth="1"/>
    <col min="5" max="5" width="8.42578125" bestFit="1" customWidth="1"/>
    <col min="6" max="6" width="6.7109375" bestFit="1" customWidth="1"/>
    <col min="7" max="7" width="58.85546875" bestFit="1" customWidth="1"/>
    <col min="8" max="8" width="53.42578125" bestFit="1" customWidth="1"/>
    <col min="9" max="9" width="55.140625" bestFit="1" customWidth="1"/>
    <col min="10" max="10" width="51.7109375" bestFit="1" customWidth="1"/>
    <col min="11" max="11" width="60" bestFit="1" customWidth="1"/>
    <col min="12" max="12" width="61.28515625" bestFit="1" customWidth="1"/>
    <col min="13" max="13" width="57.28515625" bestFit="1" customWidth="1"/>
    <col min="14" max="14" width="66.85546875" bestFit="1" customWidth="1"/>
  </cols>
  <sheetData>
    <row r="1" spans="1:14">
      <c r="A1" s="19" t="s">
        <v>6</v>
      </c>
      <c r="B1" s="19" t="s">
        <v>65</v>
      </c>
      <c r="C1" t="s">
        <v>419</v>
      </c>
      <c r="D1" t="s">
        <v>4</v>
      </c>
      <c r="E1" t="s">
        <v>5</v>
      </c>
      <c r="F1" t="s">
        <v>383</v>
      </c>
      <c r="G1" s="10" t="s">
        <v>53</v>
      </c>
      <c r="H1" s="8" t="s">
        <v>52</v>
      </c>
      <c r="I1" s="7" t="s">
        <v>421</v>
      </c>
      <c r="J1" s="19" t="s">
        <v>66</v>
      </c>
      <c r="K1" s="19" t="s">
        <v>67</v>
      </c>
      <c r="L1" s="19" t="s">
        <v>68</v>
      </c>
      <c r="M1" s="19" t="s">
        <v>69</v>
      </c>
      <c r="N1" s="19" t="s">
        <v>70</v>
      </c>
    </row>
    <row r="2" spans="1:14">
      <c r="A2" s="19" t="s">
        <v>71</v>
      </c>
      <c r="B2" s="19" t="s">
        <v>72</v>
      </c>
      <c r="C2" s="1">
        <v>26465</v>
      </c>
      <c r="D2">
        <v>31</v>
      </c>
      <c r="E2">
        <v>-155</v>
      </c>
      <c r="F2">
        <v>13.75</v>
      </c>
      <c r="G2">
        <f>L2/1000/24</f>
        <v>2.2083333333333333E-4</v>
      </c>
      <c r="H2">
        <f t="shared" ref="H2:I2" si="0">M2/1000/24</f>
        <v>7.9166666666666665E-4</v>
      </c>
      <c r="I2">
        <f t="shared" si="0"/>
        <v>4.9999999999999996E-5</v>
      </c>
      <c r="J2" s="20">
        <v>9.1</v>
      </c>
      <c r="K2" s="20">
        <v>2.9</v>
      </c>
      <c r="L2" s="20">
        <v>5.3</v>
      </c>
      <c r="M2" s="20">
        <v>19</v>
      </c>
      <c r="N2" s="20">
        <v>1.2</v>
      </c>
    </row>
    <row r="3" spans="1:14">
      <c r="A3" s="20"/>
      <c r="B3" s="20"/>
      <c r="C3" s="1">
        <v>26465</v>
      </c>
      <c r="D3">
        <v>31</v>
      </c>
      <c r="E3">
        <v>-155</v>
      </c>
      <c r="F3">
        <v>21.25</v>
      </c>
      <c r="G3">
        <f t="shared" ref="G3:G20" si="1">L3/1000/24</f>
        <v>1.7916666666666667E-4</v>
      </c>
      <c r="H3">
        <f t="shared" ref="H3:H20" si="2">M3/1000/24</f>
        <v>9.1666666666666665E-4</v>
      </c>
      <c r="I3">
        <f t="shared" ref="I3:I20" si="3">N3/1000/24</f>
        <v>7.9166666666666662E-5</v>
      </c>
      <c r="J3" s="20">
        <v>9.1</v>
      </c>
      <c r="K3" s="20">
        <v>6.2</v>
      </c>
      <c r="L3" s="20">
        <v>4.3</v>
      </c>
      <c r="M3" s="20">
        <v>22</v>
      </c>
      <c r="N3" s="20">
        <v>1.9</v>
      </c>
    </row>
    <row r="4" spans="1:14">
      <c r="A4" s="19" t="s">
        <v>73</v>
      </c>
      <c r="B4" s="19" t="s">
        <v>74</v>
      </c>
      <c r="C4" s="1">
        <v>26710</v>
      </c>
      <c r="D4">
        <v>28</v>
      </c>
      <c r="E4">
        <v>-155</v>
      </c>
      <c r="F4">
        <v>10.75</v>
      </c>
      <c r="G4">
        <f t="shared" si="1"/>
        <v>4.5833333333333334E-5</v>
      </c>
      <c r="H4">
        <f t="shared" si="2"/>
        <v>4.1666666666666669E-4</v>
      </c>
      <c r="I4">
        <f t="shared" si="3"/>
        <v>4.9999999999999996E-5</v>
      </c>
      <c r="J4" s="20">
        <v>1.9</v>
      </c>
      <c r="K4" s="20">
        <v>1.8</v>
      </c>
      <c r="L4" s="20">
        <v>1.1000000000000001</v>
      </c>
      <c r="M4" s="20">
        <v>10</v>
      </c>
      <c r="N4" s="20">
        <v>1.2</v>
      </c>
    </row>
    <row r="5" spans="1:14">
      <c r="A5" s="20"/>
      <c r="B5" s="20"/>
      <c r="C5" s="1">
        <v>26710</v>
      </c>
      <c r="D5">
        <v>28</v>
      </c>
      <c r="E5">
        <v>-155</v>
      </c>
      <c r="F5">
        <v>7.5</v>
      </c>
      <c r="G5">
        <f t="shared" si="1"/>
        <v>1.3333333333333334E-4</v>
      </c>
      <c r="H5">
        <f t="shared" si="2"/>
        <v>3.7499999999999997E-5</v>
      </c>
      <c r="I5">
        <f t="shared" si="3"/>
        <v>4.1666666666666665E-5</v>
      </c>
      <c r="J5" s="20">
        <v>1.8</v>
      </c>
      <c r="K5" s="20">
        <v>1</v>
      </c>
      <c r="L5" s="20">
        <v>3.2</v>
      </c>
      <c r="M5" s="20">
        <v>0.9</v>
      </c>
      <c r="N5" s="20">
        <v>1</v>
      </c>
    </row>
    <row r="6" spans="1:14">
      <c r="A6" s="20"/>
      <c r="B6" s="20"/>
      <c r="C6" s="1">
        <v>26710</v>
      </c>
      <c r="D6">
        <v>28</v>
      </c>
      <c r="E6">
        <v>-155</v>
      </c>
      <c r="F6">
        <v>8</v>
      </c>
      <c r="G6">
        <f t="shared" si="1"/>
        <v>1.8333333333333334E-4</v>
      </c>
      <c r="H6">
        <f t="shared" si="2"/>
        <v>7.4999999999999993E-5</v>
      </c>
      <c r="I6">
        <f t="shared" si="3"/>
        <v>1.7500000000000003E-4</v>
      </c>
      <c r="J6" s="20">
        <v>3</v>
      </c>
      <c r="K6" s="20">
        <v>1.7</v>
      </c>
      <c r="L6" s="20">
        <v>4.4000000000000004</v>
      </c>
      <c r="M6" s="20">
        <v>1.8</v>
      </c>
      <c r="N6" s="20">
        <v>4.2</v>
      </c>
    </row>
    <row r="7" spans="1:14">
      <c r="A7" s="20"/>
      <c r="B7" s="20"/>
      <c r="C7" s="1">
        <v>26710</v>
      </c>
      <c r="D7">
        <v>28</v>
      </c>
      <c r="E7">
        <v>-155</v>
      </c>
      <c r="F7">
        <v>9</v>
      </c>
      <c r="G7">
        <f t="shared" si="1"/>
        <v>1.6249999999999999E-4</v>
      </c>
      <c r="H7">
        <f t="shared" si="2"/>
        <v>6.666666666666667E-5</v>
      </c>
      <c r="I7">
        <f t="shared" si="3"/>
        <v>6.2500000000000001E-5</v>
      </c>
      <c r="J7" s="20">
        <v>1.8</v>
      </c>
      <c r="K7" s="20">
        <v>1.5</v>
      </c>
      <c r="L7" s="20">
        <v>3.9</v>
      </c>
      <c r="M7" s="20">
        <v>1.6</v>
      </c>
      <c r="N7" s="20">
        <v>1.5</v>
      </c>
    </row>
    <row r="8" spans="1:14">
      <c r="A8" s="20"/>
      <c r="B8" s="20"/>
      <c r="C8" s="1">
        <v>26710</v>
      </c>
      <c r="D8">
        <v>28</v>
      </c>
      <c r="E8">
        <v>-155</v>
      </c>
      <c r="F8">
        <v>10</v>
      </c>
      <c r="G8">
        <f t="shared" si="1"/>
        <v>2.2500000000000002E-4</v>
      </c>
      <c r="H8">
        <f t="shared" si="2"/>
        <v>4.1666666666666665E-5</v>
      </c>
      <c r="I8">
        <f t="shared" si="3"/>
        <v>1.2499999999999999E-5</v>
      </c>
      <c r="J8" s="20">
        <v>0.8</v>
      </c>
      <c r="K8" s="20">
        <v>0.5</v>
      </c>
      <c r="L8" s="20">
        <v>5.4</v>
      </c>
      <c r="M8" s="20">
        <v>1</v>
      </c>
      <c r="N8" s="20">
        <v>0.3</v>
      </c>
    </row>
    <row r="9" spans="1:14">
      <c r="A9" s="19" t="s">
        <v>75</v>
      </c>
      <c r="B9" s="19" t="s">
        <v>76</v>
      </c>
      <c r="C9" s="1">
        <v>26845</v>
      </c>
      <c r="D9">
        <v>28</v>
      </c>
      <c r="E9">
        <v>-155</v>
      </c>
      <c r="F9">
        <v>17.5</v>
      </c>
      <c r="G9">
        <f t="shared" si="1"/>
        <v>6.2500000000000001E-4</v>
      </c>
      <c r="H9">
        <f t="shared" si="2"/>
        <v>1.4166666666666665E-4</v>
      </c>
      <c r="I9">
        <f t="shared" si="3"/>
        <v>7.4999999999999993E-5</v>
      </c>
      <c r="J9" s="20">
        <v>5.0999999999999996</v>
      </c>
      <c r="K9" s="20">
        <v>1.7</v>
      </c>
      <c r="L9" s="20">
        <v>15</v>
      </c>
      <c r="M9" s="20">
        <v>3.4</v>
      </c>
      <c r="N9" s="20">
        <v>1.8</v>
      </c>
    </row>
    <row r="10" spans="1:14">
      <c r="A10" s="20"/>
      <c r="B10" s="20"/>
      <c r="C10" s="1">
        <v>26845</v>
      </c>
      <c r="D10">
        <v>28</v>
      </c>
      <c r="E10">
        <v>-155</v>
      </c>
      <c r="F10">
        <v>15.75</v>
      </c>
      <c r="G10">
        <f t="shared" si="1"/>
        <v>7.9166666666666665E-4</v>
      </c>
      <c r="H10">
        <f t="shared" si="2"/>
        <v>1.8749999999999998E-4</v>
      </c>
      <c r="I10">
        <f t="shared" si="3"/>
        <v>8.7500000000000013E-5</v>
      </c>
      <c r="J10" s="20">
        <v>5.9</v>
      </c>
      <c r="K10" s="20">
        <v>2.9</v>
      </c>
      <c r="L10" s="20">
        <v>19</v>
      </c>
      <c r="M10" s="20">
        <v>4.5</v>
      </c>
      <c r="N10" s="20">
        <v>2.1</v>
      </c>
    </row>
    <row r="11" spans="1:14">
      <c r="A11" s="20"/>
      <c r="B11" s="20"/>
      <c r="C11" s="1">
        <v>26845</v>
      </c>
      <c r="D11">
        <v>28</v>
      </c>
      <c r="E11">
        <v>-155</v>
      </c>
      <c r="F11">
        <v>16</v>
      </c>
      <c r="G11">
        <f t="shared" si="1"/>
        <v>5.4166666666666664E-4</v>
      </c>
      <c r="H11">
        <f t="shared" si="2"/>
        <v>6.6666666666666664E-4</v>
      </c>
      <c r="I11">
        <f t="shared" si="3"/>
        <v>1.3333333333333334E-4</v>
      </c>
      <c r="J11" s="20">
        <v>4.5999999999999996</v>
      </c>
      <c r="K11" s="20">
        <v>6.5</v>
      </c>
      <c r="L11" s="20">
        <v>13</v>
      </c>
      <c r="M11" s="20">
        <v>16</v>
      </c>
      <c r="N11" s="20">
        <v>3.2</v>
      </c>
    </row>
    <row r="12" spans="1:14">
      <c r="A12" s="19" t="s">
        <v>77</v>
      </c>
      <c r="B12" s="19" t="s">
        <v>78</v>
      </c>
      <c r="C12" s="1">
        <v>27013</v>
      </c>
      <c r="D12">
        <v>27.5</v>
      </c>
      <c r="E12">
        <v>-155</v>
      </c>
      <c r="F12">
        <v>15</v>
      </c>
      <c r="G12">
        <f t="shared" si="1"/>
        <v>5.8333333333333338E-4</v>
      </c>
      <c r="H12">
        <f t="shared" si="2"/>
        <v>7.9166666666666662E-5</v>
      </c>
      <c r="I12">
        <f t="shared" si="3"/>
        <v>1.6666666666666667E-5</v>
      </c>
      <c r="J12" s="20">
        <v>3.5</v>
      </c>
      <c r="K12" s="20">
        <v>2.5</v>
      </c>
      <c r="L12" s="20">
        <v>14</v>
      </c>
      <c r="M12" s="20">
        <v>1.9</v>
      </c>
      <c r="N12" s="20">
        <v>0.4</v>
      </c>
    </row>
    <row r="13" spans="1:14">
      <c r="A13" s="20"/>
      <c r="B13" s="20"/>
      <c r="C13" s="1">
        <v>27013</v>
      </c>
      <c r="D13">
        <v>29.52</v>
      </c>
      <c r="E13">
        <v>-141.02000000000001</v>
      </c>
      <c r="F13">
        <v>15</v>
      </c>
      <c r="G13">
        <f t="shared" si="1"/>
        <v>2.2916666666666666E-4</v>
      </c>
      <c r="H13">
        <f t="shared" si="2"/>
        <v>7.0833333333333325E-5</v>
      </c>
      <c r="I13">
        <f t="shared" si="3"/>
        <v>2.4999999999999998E-5</v>
      </c>
      <c r="J13" s="20">
        <v>3.2</v>
      </c>
      <c r="K13" s="20">
        <v>1</v>
      </c>
      <c r="L13" s="20">
        <v>5.5</v>
      </c>
      <c r="M13" s="20">
        <v>1.7</v>
      </c>
      <c r="N13" s="20">
        <v>0.6</v>
      </c>
    </row>
    <row r="14" spans="1:14">
      <c r="A14" s="20"/>
      <c r="B14" s="20"/>
      <c r="C14" s="1">
        <v>27013</v>
      </c>
      <c r="D14">
        <f>30+17.5/60</f>
        <v>30.291666666666668</v>
      </c>
      <c r="E14">
        <v>-134.5</v>
      </c>
      <c r="F14">
        <v>15</v>
      </c>
      <c r="G14">
        <f t="shared" si="1"/>
        <v>2.375E-4</v>
      </c>
      <c r="H14">
        <f t="shared" si="2"/>
        <v>1.6666666666666666E-4</v>
      </c>
      <c r="I14">
        <f t="shared" si="3"/>
        <v>2.9166666666666666E-5</v>
      </c>
      <c r="J14" s="20">
        <v>1.9</v>
      </c>
      <c r="K14" s="20">
        <v>1.5</v>
      </c>
      <c r="L14" s="20">
        <v>5.7</v>
      </c>
      <c r="M14" s="20">
        <v>4</v>
      </c>
      <c r="N14" s="20">
        <v>0.7</v>
      </c>
    </row>
    <row r="15" spans="1:14">
      <c r="A15" s="20"/>
      <c r="B15" s="20"/>
      <c r="C15" s="1">
        <v>27013</v>
      </c>
      <c r="D15">
        <f>31+50.5/60</f>
        <v>31.841666666666665</v>
      </c>
      <c r="E15">
        <v>-123.5</v>
      </c>
      <c r="F15">
        <v>15</v>
      </c>
      <c r="G15">
        <f t="shared" si="1"/>
        <v>3.4166666666666661E-4</v>
      </c>
      <c r="H15">
        <f t="shared" si="2"/>
        <v>1.5833333333333332E-4</v>
      </c>
      <c r="I15">
        <f t="shared" si="3"/>
        <v>3.3333333333333335E-5</v>
      </c>
      <c r="J15" s="20">
        <v>5.5</v>
      </c>
      <c r="K15" s="20">
        <v>2.1</v>
      </c>
      <c r="L15" s="20">
        <v>8.1999999999999993</v>
      </c>
      <c r="M15" s="20">
        <v>3.8</v>
      </c>
      <c r="N15" s="20">
        <v>0.8</v>
      </c>
    </row>
    <row r="16" spans="1:14">
      <c r="A16" s="19" t="s">
        <v>79</v>
      </c>
      <c r="B16" s="19" t="s">
        <v>80</v>
      </c>
      <c r="C16" s="1">
        <v>27088</v>
      </c>
      <c r="D16">
        <v>28</v>
      </c>
      <c r="E16">
        <v>-155</v>
      </c>
      <c r="F16">
        <v>15</v>
      </c>
      <c r="G16">
        <f t="shared" si="1"/>
        <v>7.0833333333333338E-4</v>
      </c>
      <c r="H16">
        <f t="shared" si="2"/>
        <v>5.8333333333333338E-4</v>
      </c>
      <c r="I16">
        <f t="shared" si="3"/>
        <v>4.5833333333333334E-5</v>
      </c>
      <c r="J16" s="20">
        <v>13</v>
      </c>
      <c r="K16" s="20">
        <v>1.9</v>
      </c>
      <c r="L16" s="20">
        <v>17</v>
      </c>
      <c r="M16" s="20">
        <v>14</v>
      </c>
      <c r="N16" s="20">
        <v>1.1000000000000001</v>
      </c>
    </row>
    <row r="17" spans="1:14">
      <c r="A17" s="20"/>
      <c r="B17" s="20"/>
      <c r="C17" s="1">
        <v>27088</v>
      </c>
      <c r="D17">
        <v>28</v>
      </c>
      <c r="E17">
        <v>-155</v>
      </c>
      <c r="F17">
        <v>15</v>
      </c>
      <c r="G17">
        <f t="shared" si="1"/>
        <v>4.1666666666666669E-4</v>
      </c>
      <c r="H17">
        <f t="shared" si="2"/>
        <v>2.2500000000000002E-4</v>
      </c>
      <c r="I17">
        <f t="shared" si="3"/>
        <v>4.1666666666666665E-5</v>
      </c>
      <c r="J17" s="20">
        <v>6.4</v>
      </c>
      <c r="K17" s="20">
        <v>1.7</v>
      </c>
      <c r="L17" s="20">
        <v>10</v>
      </c>
      <c r="M17" s="20">
        <v>5.4</v>
      </c>
      <c r="N17" s="20">
        <v>1</v>
      </c>
    </row>
    <row r="18" spans="1:14">
      <c r="A18" s="20"/>
      <c r="B18" s="20"/>
      <c r="C18" s="1">
        <v>27088</v>
      </c>
      <c r="D18">
        <v>28</v>
      </c>
      <c r="E18">
        <v>-155</v>
      </c>
      <c r="F18">
        <v>17.5</v>
      </c>
      <c r="G18">
        <f t="shared" si="1"/>
        <v>4.5833333333333332E-4</v>
      </c>
      <c r="H18">
        <f t="shared" si="2"/>
        <v>2.9166666666666669E-4</v>
      </c>
      <c r="I18">
        <f t="shared" si="3"/>
        <v>8.3333333333333337E-6</v>
      </c>
      <c r="J18" s="20">
        <v>7.2</v>
      </c>
      <c r="K18" s="20">
        <v>1.9</v>
      </c>
      <c r="L18" s="20">
        <v>11</v>
      </c>
      <c r="M18" s="20">
        <v>7</v>
      </c>
      <c r="N18" s="20">
        <v>0.2</v>
      </c>
    </row>
    <row r="19" spans="1:14">
      <c r="A19" s="20"/>
      <c r="B19" s="20"/>
      <c r="C19" s="1">
        <v>27088</v>
      </c>
      <c r="D19">
        <v>28</v>
      </c>
      <c r="E19">
        <v>-155</v>
      </c>
      <c r="F19">
        <v>20</v>
      </c>
      <c r="G19">
        <f t="shared" si="1"/>
        <v>5.8333333333333338E-4</v>
      </c>
      <c r="H19">
        <f t="shared" si="2"/>
        <v>5.8333333333333338E-4</v>
      </c>
      <c r="I19">
        <f t="shared" si="3"/>
        <v>4.1666666666666665E-5</v>
      </c>
      <c r="J19" s="20">
        <v>11</v>
      </c>
      <c r="K19" s="20">
        <v>1.8</v>
      </c>
      <c r="L19" s="20">
        <v>14</v>
      </c>
      <c r="M19" s="20">
        <v>14</v>
      </c>
      <c r="N19" s="20">
        <v>1</v>
      </c>
    </row>
    <row r="20" spans="1:14">
      <c r="A20" s="20"/>
      <c r="B20" s="20"/>
      <c r="C20" s="1">
        <v>27088</v>
      </c>
      <c r="D20">
        <v>28</v>
      </c>
      <c r="E20">
        <v>-155</v>
      </c>
      <c r="F20">
        <v>15</v>
      </c>
      <c r="G20">
        <f t="shared" si="1"/>
        <v>3.7499999999999995E-4</v>
      </c>
      <c r="H20">
        <f t="shared" si="2"/>
        <v>2.375E-4</v>
      </c>
      <c r="I20">
        <f t="shared" si="3"/>
        <v>8.3333333333333337E-6</v>
      </c>
      <c r="J20" s="20">
        <v>7.1</v>
      </c>
      <c r="K20" s="20">
        <v>1.9</v>
      </c>
      <c r="L20" s="20">
        <v>9</v>
      </c>
      <c r="M20" s="20">
        <v>5.7</v>
      </c>
      <c r="N20" s="20">
        <v>0.2</v>
      </c>
    </row>
    <row r="25" spans="1:14">
      <c r="C25" s="1"/>
    </row>
    <row r="26" spans="1:14">
      <c r="C26" s="1"/>
    </row>
    <row r="27" spans="1:14">
      <c r="C27" s="1"/>
    </row>
    <row r="28" spans="1:14">
      <c r="C28" s="1"/>
    </row>
    <row r="29" spans="1:14">
      <c r="C29" s="1"/>
    </row>
    <row r="30" spans="1:14">
      <c r="C30" s="1"/>
    </row>
    <row r="31" spans="1:14">
      <c r="C31" s="1"/>
    </row>
    <row r="32" spans="1:14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64AE-2AA0-CC42-9DA6-04570C5D4D52}">
  <dimension ref="A1:O13"/>
  <sheetViews>
    <sheetView workbookViewId="0">
      <selection activeCell="H1" sqref="H1:J1"/>
    </sheetView>
  </sheetViews>
  <sheetFormatPr baseColWidth="10" defaultRowHeight="20"/>
  <cols>
    <col min="1" max="1" width="10.140625" bestFit="1" customWidth="1"/>
    <col min="2" max="2" width="4.85546875" bestFit="1" customWidth="1"/>
    <col min="3" max="3" width="10.42578125" bestFit="1" customWidth="1"/>
    <col min="4" max="4" width="6.7109375" bestFit="1" customWidth="1"/>
    <col min="5" max="5" width="7.42578125" bestFit="1" customWidth="1"/>
    <col min="6" max="6" width="7" bestFit="1" customWidth="1"/>
    <col min="7" max="7" width="7" customWidth="1"/>
    <col min="8" max="10" width="22" customWidth="1"/>
    <col min="11" max="11" width="21.28515625" bestFit="1" customWidth="1"/>
    <col min="12" max="12" width="16" bestFit="1" customWidth="1"/>
    <col min="13" max="13" width="22.28515625" bestFit="1" customWidth="1"/>
  </cols>
  <sheetData>
    <row r="1" spans="1:15">
      <c r="A1" t="s">
        <v>6</v>
      </c>
      <c r="B1" t="s">
        <v>58</v>
      </c>
      <c r="C1" t="s">
        <v>419</v>
      </c>
      <c r="D1" t="s">
        <v>5</v>
      </c>
      <c r="E1" t="s">
        <v>4</v>
      </c>
      <c r="F1" t="s">
        <v>81</v>
      </c>
      <c r="G1" t="s">
        <v>383</v>
      </c>
      <c r="H1" s="10" t="s">
        <v>53</v>
      </c>
      <c r="I1" s="8" t="s">
        <v>52</v>
      </c>
      <c r="J1" s="7" t="s">
        <v>421</v>
      </c>
      <c r="K1" t="s">
        <v>83</v>
      </c>
      <c r="L1" t="s">
        <v>84</v>
      </c>
      <c r="M1" t="s">
        <v>82</v>
      </c>
      <c r="N1" t="s">
        <v>85</v>
      </c>
      <c r="O1" t="s">
        <v>86</v>
      </c>
    </row>
    <row r="2" spans="1:15">
      <c r="A2" t="s">
        <v>87</v>
      </c>
      <c r="B2">
        <v>7</v>
      </c>
      <c r="C2" s="1">
        <v>29431</v>
      </c>
      <c r="D2">
        <v>-57.98</v>
      </c>
      <c r="E2">
        <v>74.36</v>
      </c>
      <c r="F2">
        <v>30</v>
      </c>
      <c r="G2">
        <f>F2/2</f>
        <v>15</v>
      </c>
      <c r="H2">
        <f>K2/$F2/24</f>
        <v>1.9444444444444442E-3</v>
      </c>
      <c r="I2">
        <f t="shared" ref="I2:J2" si="0">L2/$F2/24</f>
        <v>2.236111111111111E-3</v>
      </c>
      <c r="J2">
        <f t="shared" si="0"/>
        <v>7.5000000000000012E-4</v>
      </c>
      <c r="K2">
        <v>1.4</v>
      </c>
      <c r="L2">
        <v>1.61</v>
      </c>
      <c r="M2">
        <v>0.54</v>
      </c>
      <c r="N2">
        <v>3.55</v>
      </c>
      <c r="O2">
        <v>45</v>
      </c>
    </row>
    <row r="3" spans="1:15">
      <c r="A3" t="s">
        <v>88</v>
      </c>
      <c r="B3">
        <v>11</v>
      </c>
      <c r="C3" s="1">
        <v>29433</v>
      </c>
      <c r="D3">
        <v>-65.5</v>
      </c>
      <c r="E3">
        <v>74.959999999999994</v>
      </c>
      <c r="F3">
        <v>30</v>
      </c>
      <c r="G3">
        <f t="shared" ref="G3:G13" si="1">F3/2</f>
        <v>15</v>
      </c>
      <c r="H3">
        <f t="shared" ref="H3:H13" si="2">K3/$F3/24</f>
        <v>9.1666666666666676E-4</v>
      </c>
      <c r="I3">
        <f t="shared" ref="I3:I13" si="3">L3/$F3/24</f>
        <v>1.1944444444444444E-3</v>
      </c>
      <c r="J3">
        <f t="shared" ref="J3:J13" si="4">M3/$F3/24</f>
        <v>3.430555555555556E-3</v>
      </c>
      <c r="K3">
        <v>0.66</v>
      </c>
      <c r="L3">
        <v>0.86</v>
      </c>
      <c r="M3">
        <v>2.4700000000000002</v>
      </c>
      <c r="N3">
        <v>3.99</v>
      </c>
      <c r="O3">
        <v>22</v>
      </c>
    </row>
    <row r="4" spans="1:15">
      <c r="A4" t="s">
        <v>89</v>
      </c>
      <c r="B4">
        <v>22</v>
      </c>
      <c r="C4" s="1">
        <v>29434</v>
      </c>
      <c r="D4">
        <v>-64.260000000000005</v>
      </c>
      <c r="E4">
        <v>75.12</v>
      </c>
      <c r="F4">
        <v>42</v>
      </c>
      <c r="G4">
        <f t="shared" si="1"/>
        <v>21</v>
      </c>
      <c r="H4">
        <f t="shared" si="2"/>
        <v>1.1607142857142855E-3</v>
      </c>
      <c r="I4">
        <f t="shared" si="3"/>
        <v>3.5714285714285714E-4</v>
      </c>
      <c r="J4">
        <f t="shared" si="4"/>
        <v>9.6230158730158729E-4</v>
      </c>
      <c r="K4">
        <v>1.17</v>
      </c>
      <c r="L4">
        <v>0.36</v>
      </c>
      <c r="M4">
        <v>0.97</v>
      </c>
      <c r="N4">
        <v>2.5</v>
      </c>
      <c r="O4">
        <v>14</v>
      </c>
    </row>
    <row r="5" spans="1:15">
      <c r="A5" t="s">
        <v>90</v>
      </c>
      <c r="B5">
        <v>35</v>
      </c>
      <c r="C5" s="1">
        <v>29436</v>
      </c>
      <c r="D5">
        <v>-66.12</v>
      </c>
      <c r="E5">
        <v>74.58</v>
      </c>
      <c r="F5">
        <v>27</v>
      </c>
      <c r="G5">
        <f t="shared" si="1"/>
        <v>13.5</v>
      </c>
      <c r="H5">
        <f t="shared" si="2"/>
        <v>1.2191358024691357E-3</v>
      </c>
      <c r="I5">
        <f t="shared" si="3"/>
        <v>8.3333333333333339E-4</v>
      </c>
      <c r="J5">
        <f t="shared" si="4"/>
        <v>1.2962962962962963E-3</v>
      </c>
      <c r="K5">
        <v>0.79</v>
      </c>
      <c r="L5">
        <v>0.54</v>
      </c>
      <c r="M5">
        <v>0.84</v>
      </c>
      <c r="N5">
        <v>2.17</v>
      </c>
      <c r="O5">
        <v>25</v>
      </c>
    </row>
    <row r="6" spans="1:15">
      <c r="A6" t="s">
        <v>91</v>
      </c>
      <c r="B6">
        <v>52</v>
      </c>
      <c r="C6" s="1">
        <v>29438</v>
      </c>
      <c r="D6">
        <v>-84.19</v>
      </c>
      <c r="E6">
        <v>73.13</v>
      </c>
      <c r="F6">
        <v>33</v>
      </c>
      <c r="G6">
        <f t="shared" si="1"/>
        <v>16.5</v>
      </c>
      <c r="H6">
        <f t="shared" si="2"/>
        <v>1.5656565656565655E-3</v>
      </c>
      <c r="I6">
        <f t="shared" si="3"/>
        <v>3.8131313131313134E-3</v>
      </c>
      <c r="J6">
        <f t="shared" si="4"/>
        <v>1.8813131313131313E-3</v>
      </c>
      <c r="K6">
        <v>1.24</v>
      </c>
      <c r="L6">
        <v>3.02</v>
      </c>
      <c r="M6">
        <v>1.49</v>
      </c>
      <c r="N6">
        <v>5.75</v>
      </c>
      <c r="O6">
        <v>53</v>
      </c>
    </row>
    <row r="7" spans="1:15">
      <c r="A7" t="s">
        <v>92</v>
      </c>
      <c r="B7">
        <v>65</v>
      </c>
      <c r="C7" s="1">
        <v>29440</v>
      </c>
      <c r="D7">
        <v>-90.47</v>
      </c>
      <c r="E7">
        <v>73.650000000000006</v>
      </c>
      <c r="F7">
        <v>36</v>
      </c>
      <c r="G7">
        <f t="shared" si="1"/>
        <v>18</v>
      </c>
      <c r="H7">
        <f t="shared" si="2"/>
        <v>3.2407407407407412E-4</v>
      </c>
      <c r="I7">
        <f t="shared" si="3"/>
        <v>5.3240740740740744E-4</v>
      </c>
      <c r="J7">
        <f t="shared" si="4"/>
        <v>4.0509259259259258E-4</v>
      </c>
      <c r="K7">
        <v>0.28000000000000003</v>
      </c>
      <c r="L7">
        <v>0.46</v>
      </c>
      <c r="M7">
        <v>0.35</v>
      </c>
      <c r="N7">
        <v>1.0900000000000001</v>
      </c>
      <c r="O7">
        <v>42</v>
      </c>
    </row>
    <row r="8" spans="1:15">
      <c r="A8" t="s">
        <v>93</v>
      </c>
      <c r="B8">
        <v>77</v>
      </c>
      <c r="C8" s="1">
        <v>29442</v>
      </c>
      <c r="D8">
        <v>-83.72</v>
      </c>
      <c r="E8">
        <v>73.19</v>
      </c>
      <c r="F8">
        <v>33</v>
      </c>
      <c r="G8">
        <f t="shared" si="1"/>
        <v>16.5</v>
      </c>
      <c r="H8">
        <f t="shared" si="2"/>
        <v>2.8914141414141414E-3</v>
      </c>
      <c r="I8">
        <f t="shared" si="3"/>
        <v>2.2727272727272731E-3</v>
      </c>
      <c r="J8">
        <f t="shared" si="4"/>
        <v>6.5656565656565657E-4</v>
      </c>
      <c r="K8">
        <v>2.29</v>
      </c>
      <c r="L8">
        <v>1.8</v>
      </c>
      <c r="M8">
        <v>0.52</v>
      </c>
      <c r="N8">
        <v>4.6100000000000003</v>
      </c>
      <c r="O8">
        <v>39</v>
      </c>
    </row>
    <row r="9" spans="1:15">
      <c r="A9" t="s">
        <v>94</v>
      </c>
      <c r="B9">
        <v>81</v>
      </c>
      <c r="C9" s="1">
        <v>29445</v>
      </c>
      <c r="D9">
        <v>-83.1</v>
      </c>
      <c r="E9">
        <v>73.03</v>
      </c>
      <c r="F9">
        <v>27</v>
      </c>
      <c r="G9">
        <f t="shared" si="1"/>
        <v>13.5</v>
      </c>
      <c r="H9">
        <f t="shared" si="2"/>
        <v>2.3919753086419754E-3</v>
      </c>
      <c r="I9">
        <f t="shared" si="3"/>
        <v>3.472222222222222E-3</v>
      </c>
      <c r="J9">
        <f t="shared" si="4"/>
        <v>1.759259259259259E-3</v>
      </c>
      <c r="K9">
        <v>1.55</v>
      </c>
      <c r="L9">
        <v>2.25</v>
      </c>
      <c r="M9">
        <v>1.1399999999999999</v>
      </c>
      <c r="N9">
        <v>4.9400000000000004</v>
      </c>
      <c r="O9">
        <v>46</v>
      </c>
    </row>
    <row r="10" spans="1:15">
      <c r="A10" t="s">
        <v>95</v>
      </c>
      <c r="B10">
        <v>92</v>
      </c>
      <c r="C10" s="1">
        <v>29447</v>
      </c>
      <c r="D10">
        <v>-99.69</v>
      </c>
      <c r="E10">
        <v>74.08</v>
      </c>
      <c r="F10">
        <v>39</v>
      </c>
      <c r="G10">
        <f t="shared" si="1"/>
        <v>19.5</v>
      </c>
      <c r="H10">
        <f t="shared" si="2"/>
        <v>6.9444444444444447E-4</v>
      </c>
      <c r="I10">
        <f t="shared" si="3"/>
        <v>1.4102564102564101E-3</v>
      </c>
      <c r="J10">
        <f t="shared" si="4"/>
        <v>1.5384615384615382E-3</v>
      </c>
      <c r="K10">
        <v>0.65</v>
      </c>
      <c r="L10">
        <v>1.32</v>
      </c>
      <c r="M10">
        <v>1.44</v>
      </c>
      <c r="N10">
        <v>3.41</v>
      </c>
      <c r="O10">
        <v>39</v>
      </c>
    </row>
    <row r="11" spans="1:15">
      <c r="A11" t="s">
        <v>96</v>
      </c>
      <c r="B11">
        <v>136</v>
      </c>
      <c r="C11" s="1">
        <v>29454</v>
      </c>
      <c r="D11">
        <v>-71.47</v>
      </c>
      <c r="E11">
        <v>73.89</v>
      </c>
      <c r="F11">
        <v>45</v>
      </c>
      <c r="G11">
        <f t="shared" si="1"/>
        <v>22.5</v>
      </c>
      <c r="H11">
        <f t="shared" si="2"/>
        <v>1.2685185185185186E-3</v>
      </c>
      <c r="I11">
        <f t="shared" si="3"/>
        <v>3.5185185185185189E-4</v>
      </c>
      <c r="J11">
        <f t="shared" si="4"/>
        <v>3.1944444444444446E-3</v>
      </c>
      <c r="K11">
        <v>1.37</v>
      </c>
      <c r="L11">
        <v>0.38</v>
      </c>
      <c r="M11">
        <v>3.45</v>
      </c>
      <c r="N11">
        <v>5.2</v>
      </c>
      <c r="O11">
        <v>7</v>
      </c>
    </row>
    <row r="12" spans="1:15">
      <c r="A12" t="s">
        <v>97</v>
      </c>
      <c r="B12">
        <v>148</v>
      </c>
      <c r="C12" s="1">
        <v>29458</v>
      </c>
      <c r="D12">
        <v>-74.19</v>
      </c>
      <c r="E12">
        <v>77.27</v>
      </c>
      <c r="F12">
        <v>27</v>
      </c>
      <c r="G12">
        <f t="shared" si="1"/>
        <v>13.5</v>
      </c>
      <c r="H12">
        <f t="shared" si="2"/>
        <v>1.2191358024691357E-3</v>
      </c>
      <c r="I12">
        <f t="shared" si="3"/>
        <v>1.6820987654320989E-3</v>
      </c>
      <c r="J12">
        <f t="shared" si="4"/>
        <v>1.2746913580246913E-2</v>
      </c>
      <c r="K12">
        <v>0.79</v>
      </c>
      <c r="L12">
        <v>1.0900000000000001</v>
      </c>
      <c r="M12">
        <v>8.26</v>
      </c>
      <c r="N12">
        <v>10.14</v>
      </c>
      <c r="O12">
        <v>11</v>
      </c>
    </row>
    <row r="13" spans="1:15">
      <c r="A13" t="s">
        <v>98</v>
      </c>
      <c r="B13">
        <v>156</v>
      </c>
      <c r="C13" s="1">
        <v>29459</v>
      </c>
      <c r="D13">
        <v>-69.069999999999993</v>
      </c>
      <c r="E13">
        <v>78.739999999999995</v>
      </c>
      <c r="F13">
        <v>24</v>
      </c>
      <c r="G13">
        <f t="shared" si="1"/>
        <v>12</v>
      </c>
      <c r="H13">
        <f t="shared" si="2"/>
        <v>2.4479166666666664E-3</v>
      </c>
      <c r="I13">
        <f t="shared" si="3"/>
        <v>5.7291666666666663E-3</v>
      </c>
      <c r="J13">
        <f t="shared" si="4"/>
        <v>3.1249999999999997E-3</v>
      </c>
      <c r="K13">
        <v>1.41</v>
      </c>
      <c r="L13">
        <v>3.3</v>
      </c>
      <c r="M13">
        <v>1.8</v>
      </c>
      <c r="N13">
        <v>6.51</v>
      </c>
      <c r="O13">
        <v>51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8557-8E3E-0544-8D12-8D567EF50FDA}">
  <dimension ref="A1:O49"/>
  <sheetViews>
    <sheetView workbookViewId="0">
      <selection activeCell="E2" sqref="E2:E21"/>
    </sheetView>
  </sheetViews>
  <sheetFormatPr baseColWidth="10" defaultRowHeight="20"/>
  <cols>
    <col min="2" max="2" width="11.42578125" bestFit="1" customWidth="1"/>
    <col min="7" max="7" width="23.5703125" bestFit="1" customWidth="1"/>
    <col min="8" max="8" width="34.140625" bestFit="1" customWidth="1"/>
    <col min="9" max="9" width="35" bestFit="1" customWidth="1"/>
    <col min="10" max="10" width="30.28515625" bestFit="1" customWidth="1"/>
    <col min="11" max="11" width="31.28515625" bestFit="1" customWidth="1"/>
    <col min="12" max="12" width="28.42578125" bestFit="1" customWidth="1"/>
    <col min="13" max="13" width="29.42578125" bestFit="1" customWidth="1"/>
  </cols>
  <sheetData>
    <row r="1" spans="1:15">
      <c r="A1" t="s">
        <v>58</v>
      </c>
      <c r="B1" t="s">
        <v>419</v>
      </c>
      <c r="C1" t="s">
        <v>4</v>
      </c>
      <c r="D1" t="s">
        <v>5</v>
      </c>
      <c r="E1" t="s">
        <v>383</v>
      </c>
      <c r="F1" t="s">
        <v>431</v>
      </c>
      <c r="G1" t="s">
        <v>433</v>
      </c>
      <c r="H1" t="s">
        <v>434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</row>
    <row r="2" spans="1:15">
      <c r="A2" t="s">
        <v>106</v>
      </c>
      <c r="B2" s="1">
        <v>30280</v>
      </c>
      <c r="C2">
        <v>37.32</v>
      </c>
      <c r="D2">
        <v>151.76</v>
      </c>
      <c r="E2">
        <v>0</v>
      </c>
      <c r="F2" s="12">
        <v>1.4195121951219514E-2</v>
      </c>
      <c r="G2" s="12">
        <v>6.2E-2</v>
      </c>
      <c r="H2" s="12">
        <v>1.6329113924050634E-3</v>
      </c>
      <c r="I2">
        <v>67</v>
      </c>
      <c r="J2" t="s">
        <v>107</v>
      </c>
      <c r="K2" t="s">
        <v>108</v>
      </c>
      <c r="L2" t="s">
        <v>109</v>
      </c>
      <c r="M2" t="s">
        <v>110</v>
      </c>
      <c r="N2" t="s">
        <v>432</v>
      </c>
      <c r="O2" t="s">
        <v>111</v>
      </c>
    </row>
    <row r="3" spans="1:15">
      <c r="A3" t="s">
        <v>112</v>
      </c>
      <c r="B3" s="1">
        <v>30283</v>
      </c>
      <c r="C3">
        <v>37.43</v>
      </c>
      <c r="D3">
        <v>171.43</v>
      </c>
      <c r="E3">
        <v>0</v>
      </c>
      <c r="F3" s="12"/>
      <c r="G3" s="12"/>
      <c r="H3" s="12">
        <v>1.6363636363636365E-3</v>
      </c>
      <c r="I3">
        <v>62.4</v>
      </c>
      <c r="J3" t="s">
        <v>7</v>
      </c>
      <c r="K3" t="s">
        <v>7</v>
      </c>
      <c r="L3" t="s">
        <v>113</v>
      </c>
      <c r="M3" t="s">
        <v>114</v>
      </c>
      <c r="N3" t="s">
        <v>7</v>
      </c>
      <c r="O3" t="s">
        <v>7</v>
      </c>
    </row>
    <row r="4" spans="1:15">
      <c r="A4" t="s">
        <v>115</v>
      </c>
      <c r="B4" s="1">
        <v>30284</v>
      </c>
      <c r="C4">
        <v>37.58</v>
      </c>
      <c r="D4">
        <v>178.06</v>
      </c>
      <c r="E4">
        <v>0</v>
      </c>
      <c r="F4" s="12">
        <v>1.6375000000000001E-2</v>
      </c>
      <c r="G4" s="12">
        <v>4.2500000000000003E-3</v>
      </c>
      <c r="H4" s="12">
        <v>3.1509846827133478E-4</v>
      </c>
      <c r="I4">
        <v>68.400000000000006</v>
      </c>
      <c r="J4" t="s">
        <v>116</v>
      </c>
      <c r="K4" t="s">
        <v>117</v>
      </c>
      <c r="L4" t="s">
        <v>118</v>
      </c>
      <c r="M4" t="s">
        <v>119</v>
      </c>
      <c r="N4" t="s">
        <v>120</v>
      </c>
      <c r="O4" t="s">
        <v>121</v>
      </c>
    </row>
    <row r="5" spans="1:15">
      <c r="A5" t="s">
        <v>122</v>
      </c>
      <c r="B5" s="1">
        <v>30284</v>
      </c>
      <c r="C5">
        <v>39.090000000000003</v>
      </c>
      <c r="D5">
        <v>184.96</v>
      </c>
      <c r="E5">
        <v>0</v>
      </c>
      <c r="F5" s="12">
        <v>2.7285714285714281E-2</v>
      </c>
      <c r="G5" s="12">
        <v>1.325E-2</v>
      </c>
      <c r="H5" s="12">
        <v>3.6000000000000002E-4</v>
      </c>
      <c r="I5">
        <v>58.3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  <c r="O5" t="s">
        <v>128</v>
      </c>
    </row>
    <row r="6" spans="1:15">
      <c r="A6" t="s">
        <v>129</v>
      </c>
      <c r="B6" s="1">
        <v>30286</v>
      </c>
      <c r="C6">
        <v>40.270000000000003</v>
      </c>
      <c r="D6">
        <v>197.12</v>
      </c>
      <c r="E6">
        <v>0</v>
      </c>
      <c r="F6" s="12">
        <v>1.2266666666666667E-2</v>
      </c>
      <c r="G6" s="12">
        <v>6.285714285714286E-3</v>
      </c>
      <c r="H6" s="12">
        <v>3.532934131736527E-4</v>
      </c>
      <c r="I6">
        <v>64.099999999999994</v>
      </c>
      <c r="J6" t="s">
        <v>130</v>
      </c>
      <c r="K6" t="s">
        <v>131</v>
      </c>
      <c r="L6" t="s">
        <v>132</v>
      </c>
      <c r="M6" t="s">
        <v>133</v>
      </c>
      <c r="N6" t="s">
        <v>134</v>
      </c>
      <c r="O6" t="s">
        <v>135</v>
      </c>
    </row>
    <row r="7" spans="1:15">
      <c r="A7" t="s">
        <v>136</v>
      </c>
      <c r="B7" s="1">
        <v>30288</v>
      </c>
      <c r="C7">
        <v>40.79</v>
      </c>
      <c r="D7">
        <v>209.74</v>
      </c>
      <c r="E7">
        <v>0</v>
      </c>
      <c r="F7" s="12">
        <v>6.4374999999999996E-3</v>
      </c>
      <c r="G7" s="12">
        <v>7.0000000000000001E-3</v>
      </c>
      <c r="H7" s="12">
        <v>4.3231441048034936E-4</v>
      </c>
      <c r="I7">
        <v>51.8</v>
      </c>
      <c r="J7" t="s">
        <v>137</v>
      </c>
      <c r="K7" t="s">
        <v>138</v>
      </c>
      <c r="L7" t="s">
        <v>139</v>
      </c>
      <c r="M7" t="s">
        <v>140</v>
      </c>
      <c r="N7" t="s">
        <v>141</v>
      </c>
      <c r="O7" t="s">
        <v>142</v>
      </c>
    </row>
    <row r="8" spans="1:15">
      <c r="A8" t="s">
        <v>143</v>
      </c>
      <c r="B8" s="1">
        <v>30290</v>
      </c>
      <c r="C8">
        <v>40.950000000000003</v>
      </c>
      <c r="D8">
        <v>221.85</v>
      </c>
      <c r="E8">
        <v>0</v>
      </c>
      <c r="F8" s="12">
        <v>2.4799999999999996E-2</v>
      </c>
      <c r="G8" s="12">
        <v>1.4999999999999999E-2</v>
      </c>
      <c r="H8" s="12">
        <v>1.6923076923076924E-3</v>
      </c>
      <c r="I8">
        <v>76</v>
      </c>
      <c r="J8" t="s">
        <v>144</v>
      </c>
      <c r="K8" t="s">
        <v>145</v>
      </c>
      <c r="L8" t="s">
        <v>146</v>
      </c>
      <c r="M8" t="s">
        <v>147</v>
      </c>
      <c r="N8" t="s">
        <v>123</v>
      </c>
      <c r="O8" t="s">
        <v>148</v>
      </c>
    </row>
    <row r="9" spans="1:15">
      <c r="A9" t="s">
        <v>149</v>
      </c>
      <c r="B9" s="1">
        <v>30308</v>
      </c>
      <c r="C9">
        <v>28.49</v>
      </c>
      <c r="D9">
        <v>247.07</v>
      </c>
      <c r="E9">
        <v>0</v>
      </c>
      <c r="F9" s="12">
        <v>3.2399999999999998E-2</v>
      </c>
      <c r="G9" s="12">
        <v>4.3999999999999997E-2</v>
      </c>
      <c r="H9" s="12">
        <v>2.666666666666667E-3</v>
      </c>
      <c r="I9">
        <v>30.5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</row>
    <row r="10" spans="1:15">
      <c r="A10" t="s">
        <v>156</v>
      </c>
      <c r="B10" s="1">
        <v>30321</v>
      </c>
      <c r="C10">
        <v>11.35</v>
      </c>
      <c r="D10">
        <v>270.89999999999998</v>
      </c>
      <c r="E10">
        <v>0</v>
      </c>
      <c r="F10" s="12">
        <v>6.0599999999999994E-2</v>
      </c>
      <c r="G10" s="12">
        <v>4.1799999999999997E-2</v>
      </c>
      <c r="H10" s="12">
        <v>9.2499999999999995E-3</v>
      </c>
      <c r="I10">
        <v>27.3</v>
      </c>
      <c r="J10" t="s">
        <v>157</v>
      </c>
      <c r="K10" t="s">
        <v>158</v>
      </c>
      <c r="L10" t="s">
        <v>159</v>
      </c>
      <c r="M10" t="s">
        <v>160</v>
      </c>
      <c r="N10" t="s">
        <v>161</v>
      </c>
      <c r="O10" t="s">
        <v>162</v>
      </c>
    </row>
    <row r="11" spans="1:15">
      <c r="A11" t="s">
        <v>163</v>
      </c>
      <c r="B11" s="1">
        <v>30322</v>
      </c>
      <c r="C11">
        <v>5.98</v>
      </c>
      <c r="D11">
        <v>268.77999999999997</v>
      </c>
      <c r="E11">
        <v>0</v>
      </c>
      <c r="F11" s="12">
        <v>4.6230769230769228E-2</v>
      </c>
      <c r="G11" s="12">
        <v>2.0230769230769229E-2</v>
      </c>
      <c r="H11" s="12">
        <v>1.2000000000000002E-2</v>
      </c>
      <c r="I11">
        <v>42.6</v>
      </c>
      <c r="J11" t="s">
        <v>164</v>
      </c>
      <c r="K11" t="s">
        <v>165</v>
      </c>
      <c r="L11" t="s">
        <v>166</v>
      </c>
      <c r="M11" t="s">
        <v>167</v>
      </c>
      <c r="N11" t="s">
        <v>168</v>
      </c>
      <c r="O11" t="s">
        <v>169</v>
      </c>
    </row>
    <row r="12" spans="1:15">
      <c r="A12" t="s">
        <v>170</v>
      </c>
      <c r="B12" s="1">
        <v>30327</v>
      </c>
      <c r="C12">
        <v>-0.28999999999999998</v>
      </c>
      <c r="D12">
        <v>262.14</v>
      </c>
      <c r="E12">
        <v>0</v>
      </c>
      <c r="F12" s="12"/>
      <c r="G12" s="12"/>
      <c r="H12" s="12"/>
      <c r="I12">
        <v>61.9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</row>
    <row r="13" spans="1:15">
      <c r="A13" t="s">
        <v>171</v>
      </c>
      <c r="B13" s="1">
        <v>30329</v>
      </c>
      <c r="C13">
        <v>6.26</v>
      </c>
      <c r="D13">
        <v>261.31</v>
      </c>
      <c r="E13">
        <v>0</v>
      </c>
      <c r="F13" s="12">
        <v>4.8000000000000008E-2</v>
      </c>
      <c r="G13" s="12">
        <v>3.1125000000000003E-2</v>
      </c>
      <c r="H13" s="12">
        <v>5.8333333333333327E-3</v>
      </c>
      <c r="I13">
        <v>24.2</v>
      </c>
      <c r="J13" t="s">
        <v>172</v>
      </c>
      <c r="K13" t="s">
        <v>173</v>
      </c>
      <c r="L13" t="s">
        <v>174</v>
      </c>
      <c r="M13" t="s">
        <v>175</v>
      </c>
      <c r="N13" t="s">
        <v>176</v>
      </c>
      <c r="O13" t="s">
        <v>177</v>
      </c>
    </row>
    <row r="14" spans="1:15">
      <c r="A14" t="s">
        <v>178</v>
      </c>
      <c r="B14" s="1">
        <v>30331</v>
      </c>
      <c r="C14">
        <v>13.92</v>
      </c>
      <c r="D14">
        <v>259.17</v>
      </c>
      <c r="E14">
        <v>0</v>
      </c>
      <c r="F14" s="12">
        <v>6.5857142857142864E-2</v>
      </c>
      <c r="G14" s="12">
        <v>0.21299999999999997</v>
      </c>
      <c r="H14" s="12">
        <v>4.6999999999999993E-2</v>
      </c>
      <c r="I14">
        <v>39.299999999999997</v>
      </c>
      <c r="J14" t="s">
        <v>123</v>
      </c>
      <c r="K14" t="s">
        <v>179</v>
      </c>
      <c r="L14" t="s">
        <v>435</v>
      </c>
      <c r="M14" t="s">
        <v>180</v>
      </c>
      <c r="N14" t="s">
        <v>181</v>
      </c>
      <c r="O14" t="s">
        <v>182</v>
      </c>
    </row>
    <row r="15" spans="1:15">
      <c r="A15" t="s">
        <v>183</v>
      </c>
      <c r="B15" s="1">
        <v>30332</v>
      </c>
      <c r="C15">
        <v>18.09</v>
      </c>
      <c r="D15">
        <v>258.02</v>
      </c>
      <c r="E15">
        <v>0</v>
      </c>
      <c r="F15" s="12">
        <v>5.3916666666666661E-2</v>
      </c>
      <c r="G15" s="12">
        <v>0.05</v>
      </c>
      <c r="H15" s="12">
        <v>7.5833333333333343E-3</v>
      </c>
      <c r="I15">
        <v>58.3</v>
      </c>
      <c r="J15" t="s">
        <v>184</v>
      </c>
      <c r="K15" t="s">
        <v>185</v>
      </c>
      <c r="L15" t="s">
        <v>152</v>
      </c>
      <c r="M15" t="s">
        <v>186</v>
      </c>
      <c r="N15" t="s">
        <v>187</v>
      </c>
      <c r="O15" t="s">
        <v>188</v>
      </c>
    </row>
    <row r="16" spans="1:15">
      <c r="A16" t="s">
        <v>189</v>
      </c>
      <c r="B16" s="1">
        <v>30337</v>
      </c>
      <c r="C16">
        <v>20.21</v>
      </c>
      <c r="D16">
        <v>256.76</v>
      </c>
      <c r="E16">
        <v>0</v>
      </c>
      <c r="F16" s="12">
        <v>4.0777777777777781E-2</v>
      </c>
      <c r="G16" s="12">
        <v>3.5999999999999997E-2</v>
      </c>
      <c r="H16" s="12">
        <v>1.771428571428571E-2</v>
      </c>
      <c r="I16">
        <v>65.7</v>
      </c>
      <c r="J16" t="s">
        <v>166</v>
      </c>
      <c r="K16" t="s">
        <v>190</v>
      </c>
      <c r="L16" t="s">
        <v>191</v>
      </c>
      <c r="M16" t="s">
        <v>192</v>
      </c>
      <c r="N16" t="s">
        <v>193</v>
      </c>
      <c r="O16" t="s">
        <v>194</v>
      </c>
    </row>
    <row r="17" spans="1:15">
      <c r="A17" t="s">
        <v>195</v>
      </c>
      <c r="B17" s="1">
        <v>30347</v>
      </c>
      <c r="C17">
        <v>32.840000000000003</v>
      </c>
      <c r="D17">
        <v>238.91</v>
      </c>
      <c r="E17">
        <v>0</v>
      </c>
      <c r="F17" s="12">
        <v>2.8799999999999996E-2</v>
      </c>
      <c r="G17" s="12">
        <v>8.8999999999999999E-3</v>
      </c>
      <c r="H17" s="12">
        <v>1.4499999999999999E-2</v>
      </c>
      <c r="I17">
        <v>20.399999999999999</v>
      </c>
      <c r="J17" t="s">
        <v>193</v>
      </c>
      <c r="K17" t="s">
        <v>196</v>
      </c>
      <c r="L17" t="s">
        <v>197</v>
      </c>
      <c r="M17" t="s">
        <v>198</v>
      </c>
      <c r="N17" t="s">
        <v>199</v>
      </c>
      <c r="O17" t="s">
        <v>200</v>
      </c>
    </row>
    <row r="18" spans="1:15">
      <c r="A18" t="s">
        <v>201</v>
      </c>
      <c r="B18" s="1">
        <v>30352</v>
      </c>
      <c r="C18">
        <v>26.19</v>
      </c>
      <c r="D18">
        <v>215.47</v>
      </c>
      <c r="E18">
        <v>0</v>
      </c>
      <c r="F18" s="12">
        <v>2.4636363636363637E-2</v>
      </c>
      <c r="G18" s="12">
        <v>9.2727272727272728E-3</v>
      </c>
      <c r="H18" s="12">
        <v>3.8333333333333336E-3</v>
      </c>
      <c r="I18">
        <v>19.600000000000001</v>
      </c>
      <c r="J18" t="s">
        <v>202</v>
      </c>
      <c r="K18" t="s">
        <v>203</v>
      </c>
      <c r="L18" t="s">
        <v>204</v>
      </c>
      <c r="M18" t="s">
        <v>205</v>
      </c>
      <c r="N18" t="s">
        <v>206</v>
      </c>
      <c r="O18" t="s">
        <v>207</v>
      </c>
    </row>
    <row r="19" spans="1:15">
      <c r="A19" t="s">
        <v>208</v>
      </c>
      <c r="B19" s="1">
        <v>30358</v>
      </c>
      <c r="C19">
        <v>20.84</v>
      </c>
      <c r="D19">
        <v>204.46</v>
      </c>
      <c r="E19">
        <v>0</v>
      </c>
      <c r="F19" s="12">
        <v>2.6249999999999999E-2</v>
      </c>
      <c r="G19" s="12">
        <v>1.5099999999999999E-2</v>
      </c>
      <c r="H19" s="12">
        <v>2.9999999999999996E-3</v>
      </c>
      <c r="I19">
        <v>21.8</v>
      </c>
      <c r="J19" t="s">
        <v>184</v>
      </c>
      <c r="K19" t="s">
        <v>209</v>
      </c>
      <c r="L19" t="s">
        <v>210</v>
      </c>
      <c r="M19" t="s">
        <v>211</v>
      </c>
      <c r="N19" t="s">
        <v>199</v>
      </c>
      <c r="O19" t="s">
        <v>212</v>
      </c>
    </row>
    <row r="20" spans="1:15">
      <c r="A20" t="s">
        <v>213</v>
      </c>
      <c r="B20" s="1">
        <v>30359</v>
      </c>
      <c r="C20">
        <v>21.47</v>
      </c>
      <c r="D20">
        <v>197.35</v>
      </c>
      <c r="E20">
        <v>0</v>
      </c>
      <c r="F20" s="12">
        <v>2.5599999999999998E-2</v>
      </c>
      <c r="G20" s="12">
        <v>2.2599999999999999E-2</v>
      </c>
      <c r="H20" s="12">
        <v>2.5384615384615385E-3</v>
      </c>
      <c r="I20">
        <v>22.1</v>
      </c>
      <c r="J20" t="s">
        <v>214</v>
      </c>
      <c r="K20" t="s">
        <v>215</v>
      </c>
      <c r="L20" t="s">
        <v>216</v>
      </c>
      <c r="M20" t="s">
        <v>217</v>
      </c>
      <c r="N20" t="s">
        <v>193</v>
      </c>
      <c r="O20" t="s">
        <v>218</v>
      </c>
    </row>
    <row r="21" spans="1:15">
      <c r="A21" t="s">
        <v>219</v>
      </c>
      <c r="B21" s="1">
        <v>30364</v>
      </c>
      <c r="C21">
        <v>24.52</v>
      </c>
      <c r="D21">
        <v>172.02</v>
      </c>
      <c r="E21">
        <v>0</v>
      </c>
      <c r="F21" s="12">
        <v>3.0428571428571423E-2</v>
      </c>
      <c r="G21" s="12">
        <v>1.3099999999999999E-2</v>
      </c>
      <c r="H21" s="12">
        <v>1.7999999999999999E-2</v>
      </c>
      <c r="I21">
        <v>20.399999999999999</v>
      </c>
      <c r="J21" t="s">
        <v>220</v>
      </c>
      <c r="K21" t="s">
        <v>221</v>
      </c>
      <c r="L21" t="s">
        <v>222</v>
      </c>
      <c r="M21" t="s">
        <v>223</v>
      </c>
      <c r="N21" t="s">
        <v>144</v>
      </c>
      <c r="O21" t="s">
        <v>224</v>
      </c>
    </row>
    <row r="27" spans="1:15">
      <c r="B27" s="1"/>
    </row>
    <row r="28" spans="1:15">
      <c r="B28" s="1"/>
    </row>
    <row r="29" spans="1:15">
      <c r="B29" s="1"/>
    </row>
    <row r="30" spans="1:15">
      <c r="B30" s="1"/>
    </row>
    <row r="31" spans="1:15">
      <c r="B31" s="1"/>
    </row>
    <row r="32" spans="1:15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CC9F-DBD3-C442-90AA-C1410C263D53}">
  <dimension ref="A1:Q12"/>
  <sheetViews>
    <sheetView workbookViewId="0">
      <selection activeCell="H2" sqref="H2:H12"/>
    </sheetView>
  </sheetViews>
  <sheetFormatPr baseColWidth="10" defaultRowHeight="20"/>
  <cols>
    <col min="5" max="5" width="11.42578125" bestFit="1" customWidth="1"/>
  </cols>
  <sheetData>
    <row r="1" spans="1:17">
      <c r="A1" t="s">
        <v>542</v>
      </c>
      <c r="B1" t="s">
        <v>54</v>
      </c>
      <c r="C1" t="s">
        <v>545</v>
      </c>
      <c r="E1" t="s">
        <v>419</v>
      </c>
      <c r="F1" t="s">
        <v>4</v>
      </c>
      <c r="G1" t="s">
        <v>5</v>
      </c>
      <c r="H1" t="s">
        <v>383</v>
      </c>
      <c r="I1" s="10" t="s">
        <v>53</v>
      </c>
      <c r="J1" s="8" t="s">
        <v>52</v>
      </c>
      <c r="K1" s="7" t="s">
        <v>421</v>
      </c>
      <c r="L1" t="s">
        <v>551</v>
      </c>
      <c r="M1" t="s">
        <v>543</v>
      </c>
      <c r="N1" t="s">
        <v>544</v>
      </c>
      <c r="O1" t="s">
        <v>546</v>
      </c>
      <c r="P1" t="s">
        <v>549</v>
      </c>
      <c r="Q1" t="s">
        <v>550</v>
      </c>
    </row>
    <row r="2" spans="1:17">
      <c r="A2" t="s">
        <v>253</v>
      </c>
      <c r="B2">
        <v>1</v>
      </c>
      <c r="C2">
        <v>3.13</v>
      </c>
      <c r="E2" s="1">
        <v>30665</v>
      </c>
      <c r="F2">
        <v>-34.049999999999997</v>
      </c>
      <c r="G2">
        <v>18.29</v>
      </c>
      <c r="H2">
        <v>1</v>
      </c>
      <c r="I2">
        <v>2.2199999999999998E-2</v>
      </c>
      <c r="J2">
        <v>1.6E-2</v>
      </c>
      <c r="K2">
        <v>3.9800000000000002E-2</v>
      </c>
      <c r="L2">
        <f>C2/2</f>
        <v>1.5649999999999999</v>
      </c>
      <c r="M2">
        <v>0.75</v>
      </c>
      <c r="N2">
        <v>20.38</v>
      </c>
      <c r="O2" t="s">
        <v>547</v>
      </c>
      <c r="P2">
        <v>10.08</v>
      </c>
      <c r="Q2">
        <v>34.81</v>
      </c>
    </row>
    <row r="3" spans="1:17">
      <c r="A3" t="s">
        <v>253</v>
      </c>
      <c r="B3">
        <v>12</v>
      </c>
      <c r="C3">
        <v>0.32</v>
      </c>
      <c r="E3" s="1">
        <v>30666</v>
      </c>
      <c r="F3">
        <v>-30.23</v>
      </c>
      <c r="G3">
        <v>17.25</v>
      </c>
      <c r="H3">
        <v>1</v>
      </c>
      <c r="I3">
        <v>6.9099999999999995E-2</v>
      </c>
      <c r="J3">
        <v>1.1000000000000001E-3</v>
      </c>
      <c r="K3">
        <v>4.7E-2</v>
      </c>
      <c r="L3">
        <f t="shared" ref="L3:L12" si="0">C3/2</f>
        <v>0.16</v>
      </c>
      <c r="M3">
        <v>0.4</v>
      </c>
      <c r="N3">
        <v>24.35</v>
      </c>
      <c r="O3">
        <v>29</v>
      </c>
      <c r="P3">
        <v>10.220000000000001</v>
      </c>
      <c r="Q3">
        <v>34.880000000000003</v>
      </c>
    </row>
    <row r="4" spans="1:17">
      <c r="A4" t="s">
        <v>253</v>
      </c>
      <c r="B4">
        <v>13</v>
      </c>
      <c r="C4">
        <v>0.22</v>
      </c>
      <c r="E4" s="1">
        <v>30667</v>
      </c>
      <c r="F4">
        <v>-31.73</v>
      </c>
      <c r="G4">
        <v>18.18</v>
      </c>
      <c r="H4">
        <v>1</v>
      </c>
      <c r="I4">
        <v>6.6000000000000003E-2</v>
      </c>
      <c r="J4">
        <v>1.4800000000000001E-2</v>
      </c>
      <c r="K4">
        <v>4.2900000000000008E-2</v>
      </c>
      <c r="L4">
        <f t="shared" si="0"/>
        <v>0.11</v>
      </c>
      <c r="M4">
        <v>0.06</v>
      </c>
      <c r="N4">
        <v>7.91</v>
      </c>
      <c r="O4">
        <v>37</v>
      </c>
      <c r="P4">
        <v>11.5</v>
      </c>
      <c r="Q4">
        <v>34.9</v>
      </c>
    </row>
    <row r="5" spans="1:17">
      <c r="A5" t="s">
        <v>548</v>
      </c>
      <c r="B5">
        <v>8</v>
      </c>
      <c r="C5">
        <v>0.21</v>
      </c>
      <c r="E5" s="1">
        <v>30668</v>
      </c>
      <c r="F5">
        <v>-29.5</v>
      </c>
      <c r="G5">
        <v>16.559999999999999</v>
      </c>
      <c r="H5">
        <v>1</v>
      </c>
      <c r="I5">
        <v>0.42699999999999999</v>
      </c>
      <c r="J5">
        <v>1.34E-2</v>
      </c>
      <c r="K5">
        <v>1.8299999999999983E-2</v>
      </c>
      <c r="L5">
        <f t="shared" si="0"/>
        <v>0.105</v>
      </c>
      <c r="M5">
        <v>0.11</v>
      </c>
      <c r="N5">
        <v>1.9</v>
      </c>
      <c r="O5">
        <v>144</v>
      </c>
      <c r="P5">
        <v>16.57</v>
      </c>
      <c r="Q5">
        <v>34.979999999999997</v>
      </c>
    </row>
    <row r="6" spans="1:17">
      <c r="A6" t="s">
        <v>548</v>
      </c>
      <c r="B6">
        <v>9</v>
      </c>
      <c r="C6">
        <v>0.59</v>
      </c>
      <c r="E6" s="1">
        <v>30669</v>
      </c>
      <c r="F6">
        <v>-29.45</v>
      </c>
      <c r="G6">
        <v>16.739999999999998</v>
      </c>
      <c r="H6">
        <v>1</v>
      </c>
      <c r="I6">
        <v>0.22339999999999999</v>
      </c>
      <c r="J6">
        <v>7.9600000000000004E-2</v>
      </c>
      <c r="K6">
        <v>3.0299999999999994E-2</v>
      </c>
      <c r="L6">
        <f t="shared" si="0"/>
        <v>0.29499999999999998</v>
      </c>
      <c r="M6">
        <v>0.22</v>
      </c>
      <c r="N6">
        <v>1.05</v>
      </c>
      <c r="O6">
        <v>135</v>
      </c>
      <c r="P6">
        <v>15.31</v>
      </c>
      <c r="Q6">
        <v>34.94</v>
      </c>
    </row>
    <row r="7" spans="1:17">
      <c r="A7" t="s">
        <v>548</v>
      </c>
      <c r="B7">
        <v>10</v>
      </c>
      <c r="C7">
        <v>0.46</v>
      </c>
      <c r="E7" s="1">
        <v>30670</v>
      </c>
      <c r="F7">
        <v>-29.99</v>
      </c>
      <c r="G7">
        <v>17.010000000000002</v>
      </c>
      <c r="H7">
        <v>1</v>
      </c>
      <c r="I7">
        <v>0.20439999999999997</v>
      </c>
      <c r="J7">
        <v>7.0999999999999994E-2</v>
      </c>
      <c r="K7">
        <v>2.47E-2</v>
      </c>
      <c r="L7">
        <f t="shared" si="0"/>
        <v>0.23</v>
      </c>
      <c r="M7">
        <v>0.11</v>
      </c>
      <c r="N7">
        <v>0.89</v>
      </c>
      <c r="O7">
        <v>127</v>
      </c>
      <c r="P7">
        <v>16.32</v>
      </c>
      <c r="Q7">
        <v>34.92</v>
      </c>
    </row>
    <row r="8" spans="1:17">
      <c r="A8" t="s">
        <v>548</v>
      </c>
      <c r="B8">
        <v>11</v>
      </c>
      <c r="C8">
        <v>0.71</v>
      </c>
      <c r="E8" s="1">
        <v>30671</v>
      </c>
      <c r="F8">
        <v>-30.31</v>
      </c>
      <c r="G8">
        <v>17.170000000000002</v>
      </c>
      <c r="H8">
        <v>1</v>
      </c>
      <c r="I8">
        <v>0.1789</v>
      </c>
      <c r="J8">
        <v>4.3400000000000001E-2</v>
      </c>
      <c r="K8">
        <v>6.2099999999999989E-2</v>
      </c>
      <c r="L8">
        <f t="shared" si="0"/>
        <v>0.35499999999999998</v>
      </c>
      <c r="M8">
        <v>0.24</v>
      </c>
      <c r="N8">
        <v>1.45</v>
      </c>
      <c r="O8">
        <v>120</v>
      </c>
      <c r="P8">
        <v>13.28</v>
      </c>
      <c r="Q8">
        <v>34.92</v>
      </c>
    </row>
    <row r="9" spans="1:17">
      <c r="A9" t="s">
        <v>548</v>
      </c>
      <c r="B9">
        <v>15</v>
      </c>
      <c r="C9">
        <v>0</v>
      </c>
      <c r="E9" s="1">
        <v>30672</v>
      </c>
      <c r="F9">
        <v>-32.409999999999997</v>
      </c>
      <c r="G9">
        <v>17.809999999999999</v>
      </c>
      <c r="H9">
        <v>1</v>
      </c>
      <c r="I9">
        <v>0.24250000000000002</v>
      </c>
      <c r="J9">
        <v>3.0999999999999999E-3</v>
      </c>
      <c r="K9">
        <v>0.10969999999999999</v>
      </c>
      <c r="L9">
        <f t="shared" si="0"/>
        <v>0</v>
      </c>
      <c r="M9">
        <v>0.92</v>
      </c>
      <c r="N9">
        <v>6.84</v>
      </c>
      <c r="O9">
        <v>135</v>
      </c>
      <c r="P9">
        <v>12.7</v>
      </c>
      <c r="Q9">
        <v>34.9</v>
      </c>
    </row>
    <row r="10" spans="1:17">
      <c r="A10" t="s">
        <v>232</v>
      </c>
      <c r="B10">
        <v>2</v>
      </c>
      <c r="C10">
        <v>0.83</v>
      </c>
      <c r="E10" s="1">
        <v>30673</v>
      </c>
      <c r="F10">
        <v>-33.74</v>
      </c>
      <c r="G10">
        <v>17.190000000000001</v>
      </c>
      <c r="H10">
        <v>1</v>
      </c>
      <c r="I10">
        <v>1.8299999999999997E-2</v>
      </c>
      <c r="J10">
        <v>1.12E-2</v>
      </c>
      <c r="K10">
        <v>1.7500000000000002E-2</v>
      </c>
      <c r="L10">
        <f t="shared" si="0"/>
        <v>0.41499999999999998</v>
      </c>
      <c r="M10">
        <v>0.56000000000000005</v>
      </c>
      <c r="N10">
        <v>0.92</v>
      </c>
      <c r="O10">
        <v>1045</v>
      </c>
      <c r="P10">
        <v>20.68</v>
      </c>
      <c r="Q10">
        <v>35.229999999999997</v>
      </c>
    </row>
    <row r="11" spans="1:17">
      <c r="A11" t="s">
        <v>232</v>
      </c>
      <c r="B11">
        <v>5</v>
      </c>
      <c r="C11">
        <v>0</v>
      </c>
      <c r="E11" s="1">
        <v>30674</v>
      </c>
      <c r="F11">
        <v>-32.72</v>
      </c>
      <c r="G11">
        <v>16.48</v>
      </c>
      <c r="H11">
        <v>1</v>
      </c>
      <c r="I11">
        <v>1.5E-3</v>
      </c>
      <c r="J11">
        <v>3.5000000000000001E-3</v>
      </c>
      <c r="K11">
        <v>4.9300000000000004E-2</v>
      </c>
      <c r="L11">
        <f t="shared" si="0"/>
        <v>0</v>
      </c>
      <c r="M11">
        <v>0.44</v>
      </c>
      <c r="N11">
        <v>0.08</v>
      </c>
      <c r="O11">
        <v>1050</v>
      </c>
      <c r="P11">
        <v>18.73</v>
      </c>
      <c r="Q11">
        <v>35.22</v>
      </c>
    </row>
    <row r="12" spans="1:17">
      <c r="A12" t="s">
        <v>232</v>
      </c>
      <c r="B12">
        <v>6</v>
      </c>
      <c r="C12">
        <v>0.34</v>
      </c>
      <c r="E12" s="1">
        <v>30675</v>
      </c>
      <c r="F12">
        <v>-30.99</v>
      </c>
      <c r="G12">
        <v>15.45</v>
      </c>
      <c r="H12">
        <v>1</v>
      </c>
      <c r="I12">
        <v>3.199999999999998E-3</v>
      </c>
      <c r="J12">
        <v>1.6400000000000001E-2</v>
      </c>
      <c r="K12">
        <v>8.3499999999999991E-2</v>
      </c>
      <c r="L12">
        <f t="shared" si="0"/>
        <v>0.17</v>
      </c>
      <c r="M12">
        <v>0.32</v>
      </c>
      <c r="N12">
        <v>0.02</v>
      </c>
      <c r="O12">
        <v>1030</v>
      </c>
      <c r="P12">
        <v>18.95</v>
      </c>
      <c r="Q12">
        <v>35.29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9C45-3157-244B-861F-2C78CCCCEF10}">
  <dimension ref="A1:O22"/>
  <sheetViews>
    <sheetView workbookViewId="0">
      <selection activeCell="F1" sqref="F1:I1"/>
    </sheetView>
  </sheetViews>
  <sheetFormatPr baseColWidth="10" defaultRowHeight="20"/>
  <sheetData>
    <row r="1" spans="1:15">
      <c r="A1" t="s">
        <v>225</v>
      </c>
      <c r="B1" t="s">
        <v>419</v>
      </c>
      <c r="C1" t="s">
        <v>4</v>
      </c>
      <c r="D1" t="s">
        <v>5</v>
      </c>
      <c r="E1" t="s">
        <v>383</v>
      </c>
      <c r="F1" s="10" t="s">
        <v>53</v>
      </c>
      <c r="G1" s="8" t="s">
        <v>52</v>
      </c>
      <c r="H1" s="7" t="s">
        <v>421</v>
      </c>
    </row>
    <row r="2" spans="1:15">
      <c r="A2">
        <v>4</v>
      </c>
      <c r="B2" s="1">
        <v>31256</v>
      </c>
      <c r="C2">
        <v>46.826700000000002</v>
      </c>
      <c r="D2">
        <v>-124.4383</v>
      </c>
      <c r="E2">
        <v>15</v>
      </c>
      <c r="F2">
        <v>1.7999999999999999E-2</v>
      </c>
      <c r="G2">
        <v>1.0999999999999999E-2</v>
      </c>
      <c r="H2">
        <v>4.0000000000000001E-3</v>
      </c>
    </row>
    <row r="3" spans="1:15">
      <c r="A3">
        <v>8</v>
      </c>
      <c r="B3" s="1">
        <v>31253</v>
      </c>
      <c r="C3">
        <v>45.036833333333334</v>
      </c>
      <c r="D3">
        <v>-125.26</v>
      </c>
      <c r="E3">
        <v>15</v>
      </c>
      <c r="F3">
        <v>3.2000000000000001E-2</v>
      </c>
      <c r="G3">
        <v>8.0000000000000002E-3</v>
      </c>
      <c r="H3">
        <v>1.2999999999999999E-2</v>
      </c>
    </row>
    <row r="4" spans="1:15">
      <c r="A4">
        <v>2</v>
      </c>
      <c r="B4" s="1">
        <v>31249</v>
      </c>
      <c r="C4">
        <v>44.666699999999999</v>
      </c>
      <c r="D4">
        <v>-124.2</v>
      </c>
      <c r="E4">
        <v>15</v>
      </c>
      <c r="F4">
        <v>7.3999999999999996E-2</v>
      </c>
      <c r="G4">
        <v>6.9000000000000006E-2</v>
      </c>
      <c r="H4">
        <v>4.3999999999999997E-2</v>
      </c>
    </row>
    <row r="5" spans="1:15">
      <c r="A5">
        <v>6</v>
      </c>
      <c r="B5" s="1">
        <v>31252</v>
      </c>
      <c r="C5">
        <v>43.984999999999999</v>
      </c>
      <c r="D5">
        <v>-125.2745</v>
      </c>
      <c r="E5">
        <v>15</v>
      </c>
      <c r="F5">
        <v>9.5000000000000001E-2</v>
      </c>
      <c r="G5">
        <v>0.02</v>
      </c>
      <c r="H5">
        <v>0.151</v>
      </c>
    </row>
    <row r="6" spans="1:15">
      <c r="A6">
        <v>14</v>
      </c>
      <c r="B6" s="1">
        <v>31231</v>
      </c>
      <c r="C6">
        <v>44.666699999999999</v>
      </c>
      <c r="D6">
        <v>-124.2</v>
      </c>
      <c r="E6">
        <v>15</v>
      </c>
      <c r="F6">
        <v>1.2999999999999999E-2</v>
      </c>
      <c r="G6">
        <v>2E-3</v>
      </c>
      <c r="H6">
        <v>5.0000000000000001E-3</v>
      </c>
    </row>
    <row r="7" spans="1:15">
      <c r="A7">
        <v>10</v>
      </c>
      <c r="B7" s="1">
        <v>31250</v>
      </c>
      <c r="C7">
        <v>44.3767</v>
      </c>
      <c r="D7">
        <v>-124.9717</v>
      </c>
      <c r="E7">
        <v>15</v>
      </c>
      <c r="F7">
        <v>8.4000000000000005E-2</v>
      </c>
      <c r="G7">
        <v>1.9E-2</v>
      </c>
      <c r="H7">
        <v>0.438</v>
      </c>
      <c r="L7" s="1"/>
      <c r="O7" s="38"/>
    </row>
    <row r="8" spans="1:15">
      <c r="A8">
        <v>0</v>
      </c>
      <c r="B8" s="1">
        <v>31257</v>
      </c>
      <c r="C8">
        <v>46.835500000000003</v>
      </c>
      <c r="D8">
        <v>-125.098</v>
      </c>
      <c r="E8">
        <v>15</v>
      </c>
      <c r="F8">
        <v>0.23200000000000001</v>
      </c>
      <c r="G8">
        <v>5.8999999999999997E-2</v>
      </c>
      <c r="H8">
        <v>1.248</v>
      </c>
      <c r="L8" s="1"/>
      <c r="O8" s="38"/>
    </row>
    <row r="9" spans="1:15">
      <c r="A9">
        <v>11</v>
      </c>
      <c r="B9" s="1">
        <v>31252</v>
      </c>
      <c r="C9">
        <v>44.158999999999999</v>
      </c>
      <c r="D9">
        <v>-125.87569999999999</v>
      </c>
      <c r="E9">
        <v>15</v>
      </c>
      <c r="F9">
        <v>0.125</v>
      </c>
      <c r="G9">
        <v>1.9E-2</v>
      </c>
      <c r="H9">
        <v>0.69399999999999995</v>
      </c>
      <c r="L9" s="1"/>
      <c r="O9" s="38"/>
    </row>
    <row r="10" spans="1:15">
      <c r="A10">
        <v>12</v>
      </c>
      <c r="B10" s="1">
        <v>31250</v>
      </c>
      <c r="C10">
        <v>44.3125</v>
      </c>
      <c r="D10">
        <v>-125.1918</v>
      </c>
      <c r="E10">
        <v>15</v>
      </c>
      <c r="F10">
        <v>2.5999999999999999E-2</v>
      </c>
      <c r="G10">
        <v>2.1000000000000001E-2</v>
      </c>
      <c r="H10">
        <v>0.245</v>
      </c>
      <c r="L10" s="1"/>
      <c r="O10" s="38"/>
    </row>
    <row r="11" spans="1:15">
      <c r="A11">
        <v>1</v>
      </c>
      <c r="B11" s="1">
        <v>31257</v>
      </c>
      <c r="C11">
        <v>46.836199999999998</v>
      </c>
      <c r="D11">
        <v>-125.117</v>
      </c>
      <c r="E11">
        <v>15</v>
      </c>
      <c r="F11">
        <v>0.05</v>
      </c>
      <c r="G11">
        <v>8.9999999999999993E-3</v>
      </c>
      <c r="H11">
        <v>0.38300000000000001</v>
      </c>
      <c r="L11" s="1"/>
      <c r="O11" s="38"/>
    </row>
    <row r="12" spans="1:15">
      <c r="L12" s="1"/>
      <c r="O12" s="38"/>
    </row>
    <row r="13" spans="1:15">
      <c r="L13" s="1"/>
      <c r="O13" s="38"/>
    </row>
    <row r="14" spans="1:15">
      <c r="L14" s="1"/>
      <c r="O14" s="38"/>
    </row>
    <row r="15" spans="1:15">
      <c r="L15" s="1"/>
      <c r="O15" s="38"/>
    </row>
    <row r="16" spans="1:15">
      <c r="L16" s="1"/>
      <c r="O16" s="38"/>
    </row>
    <row r="17" spans="12:15">
      <c r="L17" s="1"/>
      <c r="O17" s="38"/>
    </row>
    <row r="18" spans="12:15">
      <c r="L18" s="1"/>
      <c r="O18" s="38"/>
    </row>
    <row r="19" spans="12:15">
      <c r="L19" s="1"/>
      <c r="O19" s="38"/>
    </row>
    <row r="20" spans="12:15">
      <c r="L20" s="1"/>
      <c r="O20" s="38"/>
    </row>
    <row r="21" spans="12:15">
      <c r="L21" s="1"/>
      <c r="M21" s="39"/>
    </row>
    <row r="22" spans="12:15">
      <c r="L22" s="1"/>
    </row>
  </sheetData>
  <sortState xmlns:xlrd2="http://schemas.microsoft.com/office/spreadsheetml/2017/richdata2" ref="L7:P20">
    <sortCondition descending="1" ref="P7:P20"/>
  </sortState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C6CD-FFAC-1D4E-B5D4-615755BE811D}">
  <dimension ref="A1:G5"/>
  <sheetViews>
    <sheetView workbookViewId="0">
      <selection sqref="A1:XFD1048576"/>
    </sheetView>
  </sheetViews>
  <sheetFormatPr baseColWidth="10" defaultRowHeight="20"/>
  <cols>
    <col min="1" max="1" width="8.140625" bestFit="1" customWidth="1"/>
    <col min="2" max="2" width="10.5703125" bestFit="1" customWidth="1"/>
    <col min="3" max="3" width="11.7109375" bestFit="1" customWidth="1"/>
    <col min="4" max="4" width="13" bestFit="1" customWidth="1"/>
    <col min="5" max="5" width="21.5703125" bestFit="1" customWidth="1"/>
    <col min="6" max="6" width="13.28515625" bestFit="1" customWidth="1"/>
    <col min="7" max="7" width="22.7109375" bestFit="1" customWidth="1"/>
  </cols>
  <sheetData>
    <row r="1" spans="1:7">
      <c r="A1" t="s">
        <v>54</v>
      </c>
      <c r="B1" t="s">
        <v>226</v>
      </c>
      <c r="C1" t="s">
        <v>227</v>
      </c>
      <c r="D1" t="s">
        <v>236</v>
      </c>
      <c r="E1" t="s">
        <v>235</v>
      </c>
      <c r="F1" t="s">
        <v>228</v>
      </c>
      <c r="G1" t="s">
        <v>229</v>
      </c>
    </row>
    <row r="2" spans="1:7">
      <c r="A2" t="s">
        <v>230</v>
      </c>
      <c r="B2" t="s">
        <v>231</v>
      </c>
      <c r="C2">
        <v>8</v>
      </c>
      <c r="D2">
        <v>2.1999999999999999E-2</v>
      </c>
      <c r="E2">
        <v>7.0000000000000001E-3</v>
      </c>
      <c r="F2">
        <v>0.06</v>
      </c>
      <c r="G2">
        <v>0.61</v>
      </c>
    </row>
    <row r="3" spans="1:7">
      <c r="A3" t="s">
        <v>232</v>
      </c>
      <c r="B3" t="s">
        <v>231</v>
      </c>
      <c r="C3">
        <v>35</v>
      </c>
      <c r="D3">
        <v>1.6E-2</v>
      </c>
      <c r="E3">
        <v>5.0000000000000001E-3</v>
      </c>
      <c r="F3">
        <v>0.03</v>
      </c>
      <c r="G3">
        <v>0.57999999999999996</v>
      </c>
    </row>
    <row r="4" spans="1:7">
      <c r="A4" t="s">
        <v>232</v>
      </c>
      <c r="B4" t="s">
        <v>233</v>
      </c>
      <c r="C4">
        <v>6</v>
      </c>
      <c r="D4">
        <v>3.0000000000000001E-3</v>
      </c>
      <c r="E4">
        <v>1E-3</v>
      </c>
      <c r="F4">
        <v>0.03</v>
      </c>
      <c r="G4">
        <v>0.62</v>
      </c>
    </row>
    <row r="5" spans="1:7">
      <c r="A5" t="s">
        <v>232</v>
      </c>
      <c r="B5" t="s">
        <v>234</v>
      </c>
      <c r="C5">
        <v>20</v>
      </c>
      <c r="D5">
        <v>1.6E-2</v>
      </c>
      <c r="E5">
        <v>5.0000000000000001E-3</v>
      </c>
      <c r="F5">
        <v>0.02</v>
      </c>
      <c r="G5">
        <v>0.4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9F03-D935-F643-BDAD-99711E239DE8}">
  <dimension ref="A1:P11"/>
  <sheetViews>
    <sheetView workbookViewId="0">
      <selection activeCell="J1" sqref="H1:J1"/>
    </sheetView>
  </sheetViews>
  <sheetFormatPr baseColWidth="10" defaultRowHeight="20"/>
  <cols>
    <col min="1" max="1" width="4.85546875" bestFit="1" customWidth="1"/>
    <col min="2" max="2" width="10.42578125" bestFit="1" customWidth="1"/>
    <col min="3" max="3" width="7.85546875" bestFit="1" customWidth="1"/>
    <col min="4" max="4" width="6.7109375" bestFit="1" customWidth="1"/>
    <col min="5" max="5" width="8.28515625" bestFit="1" customWidth="1"/>
    <col min="6" max="6" width="7.85546875" bestFit="1" customWidth="1"/>
    <col min="7" max="10" width="7.85546875" customWidth="1"/>
  </cols>
  <sheetData>
    <row r="1" spans="1:16">
      <c r="A1" t="s">
        <v>58</v>
      </c>
      <c r="B1" t="s">
        <v>419</v>
      </c>
      <c r="C1" t="s">
        <v>4</v>
      </c>
      <c r="D1" t="s">
        <v>5</v>
      </c>
      <c r="E1" t="s">
        <v>237</v>
      </c>
      <c r="F1" t="s">
        <v>238</v>
      </c>
      <c r="G1" t="s">
        <v>383</v>
      </c>
      <c r="H1" s="10" t="s">
        <v>53</v>
      </c>
      <c r="I1" s="8" t="s">
        <v>52</v>
      </c>
      <c r="J1" s="7" t="s">
        <v>421</v>
      </c>
      <c r="K1" t="s">
        <v>239</v>
      </c>
      <c r="L1" t="s">
        <v>241</v>
      </c>
      <c r="M1" t="s">
        <v>240</v>
      </c>
      <c r="N1" t="s">
        <v>242</v>
      </c>
      <c r="O1" t="s">
        <v>243</v>
      </c>
      <c r="P1" t="s">
        <v>244</v>
      </c>
    </row>
    <row r="2" spans="1:16">
      <c r="A2">
        <v>3</v>
      </c>
      <c r="B2" s="1">
        <v>31320</v>
      </c>
      <c r="C2">
        <v>-26.58</v>
      </c>
      <c r="D2">
        <v>13.74</v>
      </c>
      <c r="E2">
        <v>18</v>
      </c>
      <c r="F2">
        <v>42</v>
      </c>
      <c r="G2">
        <f>F2/2</f>
        <v>21</v>
      </c>
      <c r="H2">
        <f>K2/$G2</f>
        <v>7.4857142857142856E-3</v>
      </c>
      <c r="I2">
        <f t="shared" ref="I2:J11" si="0">L2/$G2</f>
        <v>7.8619047619047609E-3</v>
      </c>
      <c r="J2">
        <f t="shared" si="0"/>
        <v>2.6333333333333334E-3</v>
      </c>
      <c r="K2">
        <v>0.15720000000000001</v>
      </c>
      <c r="L2">
        <v>0.1651</v>
      </c>
      <c r="M2">
        <v>5.5300000000000002E-2</v>
      </c>
      <c r="N2">
        <v>0.74</v>
      </c>
      <c r="O2">
        <v>0.15</v>
      </c>
      <c r="P2">
        <v>41.88</v>
      </c>
    </row>
    <row r="3" spans="1:16">
      <c r="A3">
        <v>11</v>
      </c>
      <c r="B3" s="1">
        <v>31320</v>
      </c>
      <c r="C3">
        <v>-25.53</v>
      </c>
      <c r="D3">
        <v>14.7</v>
      </c>
      <c r="E3">
        <v>29</v>
      </c>
      <c r="F3">
        <v>19</v>
      </c>
      <c r="G3">
        <f t="shared" ref="G3:G11" si="1">F3/2</f>
        <v>9.5</v>
      </c>
      <c r="H3">
        <f t="shared" ref="H3:H11" si="2">K3/$G3</f>
        <v>1.2052631578947369E-2</v>
      </c>
      <c r="I3">
        <f t="shared" si="0"/>
        <v>2.8842105263157895E-3</v>
      </c>
      <c r="J3">
        <f t="shared" si="0"/>
        <v>5.505263157894737E-3</v>
      </c>
      <c r="K3">
        <v>0.1145</v>
      </c>
      <c r="L3">
        <v>2.7400000000000001E-2</v>
      </c>
      <c r="M3">
        <v>5.2299999999999999E-2</v>
      </c>
      <c r="N3">
        <v>0.94</v>
      </c>
      <c r="O3">
        <v>0.27</v>
      </c>
      <c r="P3">
        <v>28.71</v>
      </c>
    </row>
    <row r="4" spans="1:16">
      <c r="A4">
        <v>16</v>
      </c>
      <c r="B4" s="1">
        <v>31320</v>
      </c>
      <c r="C4">
        <v>-24</v>
      </c>
      <c r="D4">
        <v>14</v>
      </c>
      <c r="E4">
        <v>30</v>
      </c>
      <c r="F4">
        <v>17</v>
      </c>
      <c r="G4">
        <f t="shared" si="1"/>
        <v>8.5</v>
      </c>
      <c r="H4">
        <f t="shared" si="2"/>
        <v>1.8882352941176472E-2</v>
      </c>
      <c r="I4">
        <f t="shared" si="0"/>
        <v>6.9058823529411766E-3</v>
      </c>
      <c r="J4">
        <f t="shared" si="0"/>
        <v>1.5694117647058824E-2</v>
      </c>
      <c r="K4">
        <v>0.1605</v>
      </c>
      <c r="L4">
        <v>5.8700000000000002E-2</v>
      </c>
      <c r="M4">
        <v>0.13339999999999999</v>
      </c>
      <c r="N4">
        <v>0.82</v>
      </c>
      <c r="O4">
        <v>0.37</v>
      </c>
      <c r="P4">
        <v>96.7</v>
      </c>
    </row>
    <row r="5" spans="1:16">
      <c r="A5">
        <v>21</v>
      </c>
      <c r="B5" s="1">
        <v>31320</v>
      </c>
      <c r="C5">
        <v>-22.97</v>
      </c>
      <c r="D5">
        <v>14.22</v>
      </c>
      <c r="E5">
        <v>40</v>
      </c>
      <c r="F5">
        <v>17</v>
      </c>
      <c r="G5">
        <f t="shared" si="1"/>
        <v>8.5</v>
      </c>
      <c r="H5">
        <f t="shared" si="2"/>
        <v>9.51764705882353E-3</v>
      </c>
      <c r="I5">
        <f t="shared" si="0"/>
        <v>3.3529411764705885E-3</v>
      </c>
      <c r="J5">
        <f t="shared" si="0"/>
        <v>5.8352941176470583E-3</v>
      </c>
      <c r="K5">
        <v>8.09E-2</v>
      </c>
      <c r="L5">
        <v>2.8500000000000001E-2</v>
      </c>
      <c r="M5">
        <v>4.9599999999999998E-2</v>
      </c>
      <c r="N5">
        <v>0.96</v>
      </c>
      <c r="O5">
        <v>0.31</v>
      </c>
      <c r="P5">
        <v>31.65</v>
      </c>
    </row>
    <row r="6" spans="1:16">
      <c r="A6">
        <v>30</v>
      </c>
      <c r="B6" s="1">
        <v>31320</v>
      </c>
      <c r="C6">
        <v>-19.98</v>
      </c>
      <c r="D6">
        <v>10.53</v>
      </c>
      <c r="E6">
        <v>45</v>
      </c>
      <c r="F6">
        <v>18</v>
      </c>
      <c r="G6">
        <f t="shared" si="1"/>
        <v>9</v>
      </c>
      <c r="H6">
        <f t="shared" si="2"/>
        <v>3.0055555555555558E-2</v>
      </c>
      <c r="I6">
        <f t="shared" si="0"/>
        <v>1.8622222222222221E-2</v>
      </c>
      <c r="J6">
        <f t="shared" si="0"/>
        <v>3.6344444444444443E-2</v>
      </c>
      <c r="K6">
        <v>0.27050000000000002</v>
      </c>
      <c r="L6">
        <v>0.1676</v>
      </c>
      <c r="M6">
        <v>0.3271</v>
      </c>
      <c r="N6">
        <v>0.91</v>
      </c>
      <c r="O6">
        <v>0.43</v>
      </c>
      <c r="P6">
        <v>37.880000000000003</v>
      </c>
    </row>
    <row r="7" spans="1:16">
      <c r="A7">
        <v>35</v>
      </c>
      <c r="B7" s="1">
        <v>31320</v>
      </c>
      <c r="C7">
        <v>-20.11</v>
      </c>
      <c r="D7">
        <v>12.75</v>
      </c>
      <c r="E7">
        <v>21</v>
      </c>
      <c r="F7">
        <v>32</v>
      </c>
      <c r="G7">
        <f t="shared" si="1"/>
        <v>16</v>
      </c>
      <c r="H7">
        <f t="shared" si="2"/>
        <v>1.515625E-2</v>
      </c>
      <c r="I7">
        <f t="shared" si="0"/>
        <v>1.2706250000000001E-2</v>
      </c>
      <c r="J7">
        <f t="shared" si="0"/>
        <v>8.6812499999999997E-3</v>
      </c>
      <c r="K7">
        <v>0.24249999999999999</v>
      </c>
      <c r="L7">
        <v>0.20330000000000001</v>
      </c>
      <c r="M7">
        <v>0.1389</v>
      </c>
      <c r="N7">
        <v>0.95</v>
      </c>
      <c r="O7">
        <v>0.24</v>
      </c>
      <c r="P7">
        <v>25.67</v>
      </c>
    </row>
    <row r="8" spans="1:16">
      <c r="A8">
        <v>40</v>
      </c>
      <c r="B8" s="1">
        <v>31320</v>
      </c>
      <c r="C8">
        <v>-21.06</v>
      </c>
      <c r="D8">
        <v>12.78</v>
      </c>
      <c r="E8">
        <v>31</v>
      </c>
      <c r="F8">
        <v>11</v>
      </c>
      <c r="G8">
        <f t="shared" si="1"/>
        <v>5.5</v>
      </c>
      <c r="H8">
        <f t="shared" si="2"/>
        <v>7.8927272727272721E-2</v>
      </c>
      <c r="I8">
        <f t="shared" si="0"/>
        <v>1.18E-2</v>
      </c>
      <c r="J8">
        <f t="shared" si="0"/>
        <v>5.961818181818182E-2</v>
      </c>
      <c r="K8">
        <v>0.43409999999999999</v>
      </c>
      <c r="L8">
        <v>6.4899999999999999E-2</v>
      </c>
      <c r="M8">
        <v>0.32790000000000002</v>
      </c>
      <c r="N8">
        <v>0.81</v>
      </c>
      <c r="O8">
        <v>0.4</v>
      </c>
      <c r="P8">
        <v>90.53</v>
      </c>
    </row>
    <row r="9" spans="1:16">
      <c r="A9">
        <v>45</v>
      </c>
      <c r="B9" s="1">
        <v>31320</v>
      </c>
      <c r="C9">
        <v>-22.53</v>
      </c>
      <c r="D9">
        <v>12.98</v>
      </c>
      <c r="E9">
        <v>50</v>
      </c>
      <c r="F9">
        <v>28</v>
      </c>
      <c r="G9">
        <f t="shared" si="1"/>
        <v>14</v>
      </c>
      <c r="H9">
        <f t="shared" si="2"/>
        <v>1.6442857142857141E-2</v>
      </c>
      <c r="I9">
        <f t="shared" si="0"/>
        <v>4.5214285714285712E-3</v>
      </c>
      <c r="J9">
        <f t="shared" si="0"/>
        <v>1.0564285714285715E-2</v>
      </c>
      <c r="K9">
        <v>0.23019999999999999</v>
      </c>
      <c r="L9">
        <v>6.3299999999999995E-2</v>
      </c>
      <c r="M9">
        <v>0.1479</v>
      </c>
      <c r="N9">
        <v>0.92</v>
      </c>
      <c r="O9">
        <v>0.34</v>
      </c>
      <c r="P9">
        <v>55.91</v>
      </c>
    </row>
    <row r="10" spans="1:16">
      <c r="A10">
        <v>48</v>
      </c>
      <c r="B10" s="1">
        <v>31320</v>
      </c>
      <c r="C10">
        <v>-23.02</v>
      </c>
      <c r="D10">
        <v>12.98</v>
      </c>
      <c r="E10">
        <v>45</v>
      </c>
      <c r="F10">
        <v>22</v>
      </c>
      <c r="G10">
        <f t="shared" si="1"/>
        <v>11</v>
      </c>
      <c r="H10">
        <f t="shared" si="2"/>
        <v>1.6890909090909092E-2</v>
      </c>
      <c r="I10">
        <f t="shared" si="0"/>
        <v>5.754545454545454E-3</v>
      </c>
      <c r="J10">
        <f t="shared" si="0"/>
        <v>2.7536363636363637E-2</v>
      </c>
      <c r="K10">
        <v>0.18579999999999999</v>
      </c>
      <c r="L10">
        <v>6.3299999999999995E-2</v>
      </c>
      <c r="M10">
        <v>0.3029</v>
      </c>
      <c r="N10">
        <v>0.94</v>
      </c>
      <c r="O10">
        <v>0.55000000000000004</v>
      </c>
      <c r="P10">
        <v>105.9</v>
      </c>
    </row>
    <row r="11" spans="1:16">
      <c r="A11">
        <v>55</v>
      </c>
      <c r="B11" s="1">
        <v>31320</v>
      </c>
      <c r="C11">
        <v>-26</v>
      </c>
      <c r="D11">
        <v>13.5</v>
      </c>
      <c r="E11">
        <v>29</v>
      </c>
      <c r="F11">
        <v>29</v>
      </c>
      <c r="G11">
        <f t="shared" si="1"/>
        <v>14.5</v>
      </c>
      <c r="H11">
        <f t="shared" si="2"/>
        <v>3.4241379310344829E-2</v>
      </c>
      <c r="I11">
        <f t="shared" si="0"/>
        <v>6.8689655172413785E-3</v>
      </c>
      <c r="J11">
        <f t="shared" si="0"/>
        <v>6.8965517241379318E-3</v>
      </c>
      <c r="K11">
        <v>0.4965</v>
      </c>
      <c r="L11">
        <v>9.9599999999999994E-2</v>
      </c>
      <c r="M11">
        <v>0.1</v>
      </c>
      <c r="N11">
        <v>0.86</v>
      </c>
      <c r="O11">
        <v>0.14000000000000001</v>
      </c>
      <c r="P11">
        <v>23.43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2B67-3CF3-C340-B9FB-12B58D9080AD}">
  <dimension ref="A1:P42"/>
  <sheetViews>
    <sheetView topLeftCell="E1" workbookViewId="0">
      <selection activeCell="I15" sqref="I15"/>
    </sheetView>
  </sheetViews>
  <sheetFormatPr baseColWidth="10" defaultRowHeight="20"/>
  <sheetData>
    <row r="1" spans="1:16">
      <c r="A1" t="s">
        <v>245</v>
      </c>
      <c r="B1" t="s">
        <v>246</v>
      </c>
      <c r="C1" s="1" t="s">
        <v>419</v>
      </c>
      <c r="D1" s="1" t="s">
        <v>4</v>
      </c>
      <c r="E1" s="1" t="s">
        <v>5</v>
      </c>
      <c r="F1" t="s">
        <v>383</v>
      </c>
      <c r="G1" t="s">
        <v>56</v>
      </c>
      <c r="H1" s="10" t="s">
        <v>53</v>
      </c>
      <c r="I1" s="8" t="s">
        <v>52</v>
      </c>
      <c r="J1" s="7" t="s">
        <v>421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</row>
    <row r="2" spans="1:16">
      <c r="A2" t="s">
        <v>253</v>
      </c>
      <c r="B2" t="s">
        <v>254</v>
      </c>
      <c r="C2" s="1">
        <v>32334</v>
      </c>
      <c r="D2">
        <v>-41.416699999999999</v>
      </c>
      <c r="E2">
        <v>171.5</v>
      </c>
      <c r="F2">
        <v>7.5</v>
      </c>
      <c r="G2">
        <v>100</v>
      </c>
      <c r="H2">
        <v>0.56999999999999995</v>
      </c>
      <c r="I2">
        <v>0.31</v>
      </c>
      <c r="J2">
        <v>10.65</v>
      </c>
      <c r="K2" t="s">
        <v>64</v>
      </c>
      <c r="L2" t="s">
        <v>64</v>
      </c>
      <c r="M2" t="s">
        <v>64</v>
      </c>
      <c r="N2" t="s">
        <v>64</v>
      </c>
      <c r="O2" t="s">
        <v>64</v>
      </c>
      <c r="P2" t="s">
        <v>64</v>
      </c>
    </row>
    <row r="3" spans="1:16">
      <c r="A3" t="s">
        <v>253</v>
      </c>
      <c r="B3" t="s">
        <v>255</v>
      </c>
      <c r="C3" s="1">
        <v>32334</v>
      </c>
      <c r="D3">
        <v>-41.416699999999999</v>
      </c>
      <c r="E3">
        <v>171.5</v>
      </c>
      <c r="F3">
        <v>10</v>
      </c>
      <c r="G3">
        <v>100</v>
      </c>
      <c r="H3">
        <v>0.35</v>
      </c>
      <c r="I3">
        <v>0.12</v>
      </c>
      <c r="J3">
        <v>6.42</v>
      </c>
      <c r="K3">
        <v>0.09</v>
      </c>
      <c r="L3" t="s">
        <v>64</v>
      </c>
      <c r="M3">
        <v>4.18</v>
      </c>
      <c r="N3" t="s">
        <v>64</v>
      </c>
      <c r="O3">
        <v>0.01</v>
      </c>
    </row>
    <row r="4" spans="1:16">
      <c r="A4" t="s">
        <v>253</v>
      </c>
      <c r="B4" t="s">
        <v>255</v>
      </c>
      <c r="C4" s="1">
        <v>32334</v>
      </c>
      <c r="D4">
        <v>-41.416699999999999</v>
      </c>
      <c r="E4">
        <v>171.5</v>
      </c>
      <c r="F4">
        <v>10</v>
      </c>
      <c r="G4">
        <v>40</v>
      </c>
      <c r="H4">
        <v>0.43</v>
      </c>
      <c r="I4">
        <v>0.24</v>
      </c>
      <c r="J4">
        <v>12.75</v>
      </c>
      <c r="K4">
        <v>0.34</v>
      </c>
      <c r="L4">
        <v>0.14000000000000001</v>
      </c>
      <c r="M4">
        <v>6.4</v>
      </c>
      <c r="N4">
        <v>1.6</v>
      </c>
      <c r="O4">
        <v>0.16</v>
      </c>
      <c r="P4">
        <v>0.06</v>
      </c>
    </row>
    <row r="5" spans="1:16">
      <c r="A5" t="s">
        <v>253</v>
      </c>
      <c r="B5" t="s">
        <v>256</v>
      </c>
      <c r="C5" s="1">
        <v>32334</v>
      </c>
      <c r="D5">
        <v>-41.333300000000001</v>
      </c>
      <c r="E5">
        <v>171.41669999999999</v>
      </c>
      <c r="F5">
        <v>10</v>
      </c>
      <c r="G5">
        <v>40</v>
      </c>
      <c r="H5">
        <v>0.53</v>
      </c>
      <c r="J5" t="s">
        <v>64</v>
      </c>
      <c r="K5">
        <v>1.1599999999999999</v>
      </c>
      <c r="L5">
        <v>0.49</v>
      </c>
      <c r="M5">
        <v>0.14000000000000001</v>
      </c>
      <c r="N5">
        <v>0.08</v>
      </c>
    </row>
    <row r="6" spans="1:16">
      <c r="A6" t="s">
        <v>253</v>
      </c>
      <c r="B6" t="s">
        <v>256</v>
      </c>
      <c r="C6" s="1">
        <v>32334</v>
      </c>
      <c r="D6">
        <v>-41.333300000000001</v>
      </c>
      <c r="E6">
        <v>171.41669999999999</v>
      </c>
      <c r="F6">
        <v>5</v>
      </c>
      <c r="G6">
        <v>40</v>
      </c>
      <c r="H6">
        <v>2.91</v>
      </c>
      <c r="I6">
        <v>0.54</v>
      </c>
      <c r="J6">
        <v>0.48</v>
      </c>
      <c r="K6">
        <v>0.19</v>
      </c>
      <c r="L6">
        <v>3.91</v>
      </c>
      <c r="M6">
        <v>0.21</v>
      </c>
      <c r="N6">
        <v>1.01</v>
      </c>
      <c r="O6">
        <v>0.09</v>
      </c>
    </row>
    <row r="7" spans="1:16">
      <c r="A7" t="s">
        <v>253</v>
      </c>
      <c r="B7" t="s">
        <v>257</v>
      </c>
      <c r="C7" s="1">
        <v>32334</v>
      </c>
      <c r="D7">
        <v>-43</v>
      </c>
      <c r="E7">
        <v>171.16669999999999</v>
      </c>
      <c r="F7">
        <v>5</v>
      </c>
      <c r="G7">
        <v>40</v>
      </c>
      <c r="H7">
        <v>2.74</v>
      </c>
      <c r="I7">
        <v>0.39</v>
      </c>
      <c r="J7">
        <v>0.49</v>
      </c>
      <c r="K7">
        <v>1.29</v>
      </c>
      <c r="L7">
        <v>1.1499999999999999</v>
      </c>
      <c r="M7">
        <v>0.3</v>
      </c>
      <c r="N7">
        <v>0.62</v>
      </c>
      <c r="O7" t="s">
        <v>64</v>
      </c>
    </row>
    <row r="8" spans="1:16">
      <c r="A8" t="s">
        <v>253</v>
      </c>
      <c r="B8" t="s">
        <v>257</v>
      </c>
      <c r="C8" s="1">
        <v>32334</v>
      </c>
      <c r="D8">
        <v>-43</v>
      </c>
      <c r="E8">
        <v>171.16669999999999</v>
      </c>
      <c r="F8">
        <v>15</v>
      </c>
      <c r="G8">
        <v>7</v>
      </c>
      <c r="H8">
        <v>1.1200000000000001</v>
      </c>
      <c r="I8">
        <v>0.09</v>
      </c>
      <c r="J8">
        <v>1.01</v>
      </c>
      <c r="K8">
        <v>0.26</v>
      </c>
      <c r="L8">
        <v>0.04</v>
      </c>
      <c r="M8">
        <v>0.18</v>
      </c>
      <c r="N8">
        <v>0.14000000000000001</v>
      </c>
      <c r="O8" t="s">
        <v>64</v>
      </c>
      <c r="P8">
        <v>0.04</v>
      </c>
    </row>
    <row r="9" spans="1:16">
      <c r="A9" t="s">
        <v>253</v>
      </c>
      <c r="B9" t="s">
        <v>258</v>
      </c>
      <c r="C9" s="1">
        <v>32334</v>
      </c>
      <c r="D9">
        <v>-42.916699999999999</v>
      </c>
      <c r="E9">
        <v>171</v>
      </c>
      <c r="F9">
        <v>10</v>
      </c>
      <c r="G9">
        <v>100</v>
      </c>
      <c r="H9">
        <v>1.22</v>
      </c>
      <c r="I9">
        <v>0.51</v>
      </c>
      <c r="J9">
        <v>11.85</v>
      </c>
      <c r="K9">
        <v>0.63</v>
      </c>
      <c r="L9">
        <v>0.2</v>
      </c>
      <c r="M9">
        <v>1.01</v>
      </c>
      <c r="N9">
        <v>0.26</v>
      </c>
      <c r="O9">
        <v>0.38</v>
      </c>
      <c r="P9">
        <v>0.1</v>
      </c>
    </row>
    <row r="10" spans="1:16">
      <c r="A10" t="s">
        <v>253</v>
      </c>
      <c r="B10" t="s">
        <v>258</v>
      </c>
      <c r="C10" s="1">
        <v>32334</v>
      </c>
      <c r="D10">
        <v>-42.916699999999999</v>
      </c>
      <c r="E10">
        <v>171</v>
      </c>
      <c r="F10">
        <v>10</v>
      </c>
      <c r="G10">
        <v>40</v>
      </c>
      <c r="H10">
        <v>0.78</v>
      </c>
      <c r="I10">
        <v>0.24</v>
      </c>
      <c r="J10">
        <v>1.96</v>
      </c>
      <c r="K10">
        <v>0.79</v>
      </c>
      <c r="L10">
        <v>7.0000000000000007E-2</v>
      </c>
      <c r="M10">
        <v>0.89</v>
      </c>
      <c r="N10">
        <v>0.13</v>
      </c>
      <c r="O10">
        <v>0.51</v>
      </c>
      <c r="P10" t="s">
        <v>64</v>
      </c>
    </row>
    <row r="11" spans="1:16">
      <c r="A11" t="s">
        <v>253</v>
      </c>
      <c r="B11" t="s">
        <v>258</v>
      </c>
      <c r="C11" s="1">
        <v>32334</v>
      </c>
      <c r="D11">
        <v>-42.916699999999999</v>
      </c>
      <c r="E11">
        <v>171</v>
      </c>
      <c r="F11">
        <v>50</v>
      </c>
      <c r="G11">
        <v>7</v>
      </c>
      <c r="H11">
        <v>0.27</v>
      </c>
      <c r="I11">
        <v>0.74</v>
      </c>
      <c r="J11">
        <v>1.5</v>
      </c>
      <c r="K11" t="s">
        <v>64</v>
      </c>
      <c r="L11">
        <v>0.13</v>
      </c>
      <c r="M11">
        <v>0.67</v>
      </c>
      <c r="N11">
        <v>0.15</v>
      </c>
      <c r="O11" t="s">
        <v>64</v>
      </c>
      <c r="P11">
        <v>0.19</v>
      </c>
    </row>
    <row r="12" spans="1:16">
      <c r="A12" t="s">
        <v>259</v>
      </c>
      <c r="B12" t="s">
        <v>260</v>
      </c>
      <c r="C12" s="1">
        <v>32334</v>
      </c>
      <c r="D12">
        <v>-40.916699999999999</v>
      </c>
      <c r="E12">
        <v>170.75</v>
      </c>
      <c r="F12">
        <v>10</v>
      </c>
      <c r="G12">
        <v>40</v>
      </c>
      <c r="H12">
        <v>0.44</v>
      </c>
      <c r="I12">
        <v>0.69</v>
      </c>
      <c r="J12">
        <v>2.29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  <c r="P12" t="s">
        <v>64</v>
      </c>
    </row>
    <row r="13" spans="1:16">
      <c r="A13" t="s">
        <v>259</v>
      </c>
      <c r="B13" t="s">
        <v>260</v>
      </c>
      <c r="C13" s="1">
        <v>32334</v>
      </c>
      <c r="D13">
        <v>-40.916699999999999</v>
      </c>
      <c r="E13">
        <v>170.75</v>
      </c>
      <c r="F13">
        <v>10</v>
      </c>
      <c r="G13">
        <v>7</v>
      </c>
      <c r="H13">
        <v>0.12</v>
      </c>
      <c r="I13" t="s">
        <v>64</v>
      </c>
      <c r="J13">
        <v>1.88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</row>
    <row r="14" spans="1:16">
      <c r="A14" t="s">
        <v>259</v>
      </c>
      <c r="B14" t="s">
        <v>261</v>
      </c>
      <c r="C14" s="1">
        <v>32334</v>
      </c>
      <c r="D14">
        <v>-41.083300000000001</v>
      </c>
      <c r="E14">
        <v>171.08330000000001</v>
      </c>
      <c r="F14">
        <v>10</v>
      </c>
      <c r="G14">
        <v>100</v>
      </c>
      <c r="H14">
        <v>0.53</v>
      </c>
      <c r="I14">
        <v>0.24</v>
      </c>
      <c r="J14">
        <v>3.68</v>
      </c>
      <c r="K14">
        <v>0.16</v>
      </c>
      <c r="L14">
        <v>0.23</v>
      </c>
      <c r="M14">
        <v>1.65</v>
      </c>
      <c r="N14">
        <v>1.33</v>
      </c>
      <c r="O14">
        <v>0.16</v>
      </c>
    </row>
    <row r="15" spans="1:16">
      <c r="A15" t="s">
        <v>259</v>
      </c>
      <c r="B15" t="s">
        <v>261</v>
      </c>
      <c r="C15" s="1">
        <v>32334</v>
      </c>
      <c r="D15">
        <v>-41.083300000000001</v>
      </c>
      <c r="E15">
        <v>171.08330000000001</v>
      </c>
      <c r="F15">
        <v>20</v>
      </c>
      <c r="G15">
        <v>40</v>
      </c>
      <c r="H15">
        <v>0.57999999999999996</v>
      </c>
      <c r="I15">
        <v>0.26</v>
      </c>
      <c r="J15">
        <v>1.6</v>
      </c>
      <c r="K15">
        <v>0.49</v>
      </c>
      <c r="L15">
        <v>0.23</v>
      </c>
      <c r="M15">
        <v>1.1299999999999999</v>
      </c>
      <c r="N15" t="s">
        <v>64</v>
      </c>
      <c r="O15">
        <v>0.2</v>
      </c>
    </row>
    <row r="16" spans="1:16">
      <c r="A16" t="s">
        <v>259</v>
      </c>
      <c r="B16" t="s">
        <v>261</v>
      </c>
      <c r="C16" s="1">
        <v>32334</v>
      </c>
      <c r="D16">
        <v>-41.083300000000001</v>
      </c>
      <c r="E16">
        <v>171.08330000000001</v>
      </c>
      <c r="F16">
        <v>80</v>
      </c>
      <c r="G16">
        <v>7</v>
      </c>
      <c r="H16">
        <v>0.57999999999999996</v>
      </c>
      <c r="I16">
        <v>0.44</v>
      </c>
      <c r="J16">
        <v>1.76</v>
      </c>
      <c r="K16">
        <v>0.38</v>
      </c>
      <c r="L16">
        <v>0.33</v>
      </c>
      <c r="M16">
        <v>1.36</v>
      </c>
      <c r="N16" t="s">
        <v>64</v>
      </c>
      <c r="O16" t="s">
        <v>64</v>
      </c>
      <c r="P16">
        <v>0.18</v>
      </c>
    </row>
    <row r="17" spans="1:16">
      <c r="A17" t="s">
        <v>259</v>
      </c>
      <c r="B17" t="s">
        <v>262</v>
      </c>
      <c r="C17" s="1">
        <v>32334</v>
      </c>
      <c r="D17">
        <v>-42.583300000000001</v>
      </c>
      <c r="E17">
        <v>170.91669999999999</v>
      </c>
      <c r="F17">
        <v>10</v>
      </c>
      <c r="G17">
        <v>100</v>
      </c>
      <c r="H17">
        <v>1.62</v>
      </c>
      <c r="I17">
        <v>0.28000000000000003</v>
      </c>
      <c r="J17" t="s">
        <v>64</v>
      </c>
      <c r="K17">
        <v>0.36</v>
      </c>
      <c r="L17">
        <v>0.09</v>
      </c>
      <c r="M17">
        <v>2.37</v>
      </c>
      <c r="N17">
        <v>2</v>
      </c>
      <c r="O17">
        <v>0.12</v>
      </c>
      <c r="P17">
        <v>7.0000000000000007E-2</v>
      </c>
    </row>
    <row r="18" spans="1:16">
      <c r="A18" t="s">
        <v>259</v>
      </c>
      <c r="B18" t="s">
        <v>262</v>
      </c>
      <c r="C18" s="1">
        <v>32334</v>
      </c>
      <c r="D18">
        <v>-42.583300000000001</v>
      </c>
      <c r="E18">
        <v>170.91669999999999</v>
      </c>
      <c r="F18">
        <v>40</v>
      </c>
      <c r="G18">
        <v>40</v>
      </c>
      <c r="H18">
        <v>1.33</v>
      </c>
      <c r="I18">
        <v>0.16</v>
      </c>
      <c r="J18">
        <v>2.39</v>
      </c>
      <c r="K18">
        <v>0.8</v>
      </c>
      <c r="L18">
        <v>0.3</v>
      </c>
      <c r="M18" t="s">
        <v>64</v>
      </c>
      <c r="N18" t="s">
        <v>64</v>
      </c>
      <c r="O18" t="s">
        <v>64</v>
      </c>
      <c r="P18">
        <v>0.05</v>
      </c>
    </row>
    <row r="19" spans="1:16">
      <c r="A19" t="s">
        <v>259</v>
      </c>
      <c r="B19" t="s">
        <v>262</v>
      </c>
      <c r="C19" s="1">
        <v>32334</v>
      </c>
      <c r="D19">
        <v>-42.583300000000001</v>
      </c>
      <c r="E19">
        <v>170.91669999999999</v>
      </c>
      <c r="F19">
        <v>50</v>
      </c>
      <c r="G19">
        <v>7</v>
      </c>
      <c r="H19">
        <v>0.37</v>
      </c>
      <c r="I19">
        <v>0.14000000000000001</v>
      </c>
      <c r="J19" t="s">
        <v>64</v>
      </c>
      <c r="K19">
        <v>0.23</v>
      </c>
      <c r="L19">
        <v>0.12</v>
      </c>
      <c r="M19">
        <v>0.92</v>
      </c>
      <c r="N19" t="s">
        <v>64</v>
      </c>
      <c r="O19">
        <v>0.12</v>
      </c>
      <c r="P19" t="s">
        <v>64</v>
      </c>
    </row>
    <row r="20" spans="1:16">
      <c r="A20" t="s">
        <v>259</v>
      </c>
      <c r="B20" t="s">
        <v>262</v>
      </c>
      <c r="C20" s="1">
        <v>32334</v>
      </c>
      <c r="D20">
        <v>-42.583300000000001</v>
      </c>
      <c r="E20">
        <v>170.91669999999999</v>
      </c>
      <c r="F20">
        <v>10</v>
      </c>
      <c r="G20">
        <v>100</v>
      </c>
      <c r="H20">
        <v>0.79</v>
      </c>
      <c r="I20">
        <v>0.1</v>
      </c>
      <c r="J20">
        <v>0.38</v>
      </c>
      <c r="K20">
        <v>0.28999999999999998</v>
      </c>
      <c r="L20">
        <v>1.19</v>
      </c>
      <c r="M20">
        <v>0.32</v>
      </c>
      <c r="N20">
        <v>0.26</v>
      </c>
      <c r="O20" t="s">
        <v>64</v>
      </c>
    </row>
    <row r="21" spans="1:16">
      <c r="A21" t="s">
        <v>259</v>
      </c>
      <c r="B21" t="s">
        <v>262</v>
      </c>
      <c r="C21" s="1">
        <v>32334</v>
      </c>
      <c r="D21">
        <v>-42.583300000000001</v>
      </c>
      <c r="E21">
        <v>170.91669999999999</v>
      </c>
      <c r="F21">
        <v>20</v>
      </c>
      <c r="G21">
        <v>40</v>
      </c>
      <c r="H21">
        <v>0.23</v>
      </c>
      <c r="I21" t="s">
        <v>64</v>
      </c>
      <c r="J21" t="s">
        <v>64</v>
      </c>
      <c r="K21">
        <v>0.18</v>
      </c>
      <c r="L21">
        <v>2.2000000000000002</v>
      </c>
      <c r="M21" t="s">
        <v>64</v>
      </c>
      <c r="N21">
        <v>0.22</v>
      </c>
      <c r="O21" t="s">
        <v>64</v>
      </c>
    </row>
    <row r="22" spans="1:16">
      <c r="A22" t="s">
        <v>259</v>
      </c>
      <c r="B22" t="s">
        <v>262</v>
      </c>
      <c r="C22" s="1">
        <v>32334</v>
      </c>
      <c r="D22">
        <v>-42.583300000000001</v>
      </c>
      <c r="E22">
        <v>170.91669999999999</v>
      </c>
      <c r="F22">
        <v>75</v>
      </c>
      <c r="G22">
        <v>7</v>
      </c>
      <c r="H22">
        <v>0.36</v>
      </c>
      <c r="I22">
        <v>0.17</v>
      </c>
      <c r="J22">
        <v>0.34</v>
      </c>
      <c r="K22" t="s">
        <v>64</v>
      </c>
      <c r="L22" t="s">
        <v>64</v>
      </c>
      <c r="M22" t="s">
        <v>64</v>
      </c>
      <c r="N22" t="s">
        <v>64</v>
      </c>
      <c r="O22">
        <v>0.12</v>
      </c>
      <c r="P22">
        <v>7.0000000000000007E-2</v>
      </c>
    </row>
    <row r="23" spans="1:16">
      <c r="A23" t="s">
        <v>259</v>
      </c>
      <c r="B23" t="s">
        <v>263</v>
      </c>
      <c r="C23" s="1">
        <v>32334</v>
      </c>
      <c r="D23">
        <v>-42.666699999999999</v>
      </c>
      <c r="E23">
        <v>171.08330000000001</v>
      </c>
      <c r="F23">
        <v>10</v>
      </c>
      <c r="G23">
        <v>100</v>
      </c>
      <c r="H23">
        <v>0.49</v>
      </c>
      <c r="I23">
        <v>0.13</v>
      </c>
      <c r="J23">
        <v>1.03</v>
      </c>
      <c r="K23">
        <v>0.26</v>
      </c>
      <c r="L23">
        <v>0.24</v>
      </c>
      <c r="M23">
        <v>0.02</v>
      </c>
      <c r="N23">
        <v>0.73</v>
      </c>
      <c r="O23">
        <v>0.15</v>
      </c>
      <c r="P23">
        <v>0.06</v>
      </c>
    </row>
    <row r="24" spans="1:16">
      <c r="A24" t="s">
        <v>259</v>
      </c>
      <c r="B24" t="s">
        <v>263</v>
      </c>
      <c r="C24" s="1">
        <v>32334</v>
      </c>
      <c r="D24">
        <v>-42.666699999999999</v>
      </c>
      <c r="E24">
        <v>171.08330000000001</v>
      </c>
      <c r="F24">
        <v>40</v>
      </c>
      <c r="G24">
        <v>40</v>
      </c>
      <c r="H24">
        <v>0.48</v>
      </c>
      <c r="I24">
        <v>0.19</v>
      </c>
      <c r="J24">
        <v>0.88</v>
      </c>
      <c r="K24">
        <v>0.05</v>
      </c>
      <c r="L24">
        <v>0.1</v>
      </c>
      <c r="M24">
        <v>0.52</v>
      </c>
      <c r="N24">
        <v>0.15</v>
      </c>
      <c r="O24" t="s">
        <v>64</v>
      </c>
      <c r="P24">
        <v>0.04</v>
      </c>
    </row>
    <row r="25" spans="1:16">
      <c r="A25" t="s">
        <v>259</v>
      </c>
      <c r="B25" t="s">
        <v>263</v>
      </c>
      <c r="C25" s="1">
        <v>32334</v>
      </c>
      <c r="D25">
        <v>-42.666699999999999</v>
      </c>
      <c r="E25">
        <v>171.08330000000001</v>
      </c>
      <c r="F25">
        <v>75</v>
      </c>
      <c r="G25">
        <v>7</v>
      </c>
      <c r="H25">
        <v>0.84</v>
      </c>
      <c r="I25">
        <v>0.61</v>
      </c>
      <c r="J25">
        <v>1.1299999999999999</v>
      </c>
      <c r="K25">
        <v>0.7</v>
      </c>
      <c r="L25">
        <v>0.54</v>
      </c>
      <c r="M25">
        <v>0.86</v>
      </c>
      <c r="N25">
        <v>0.79</v>
      </c>
      <c r="O25">
        <v>0.35</v>
      </c>
      <c r="P25">
        <v>0.14000000000000001</v>
      </c>
    </row>
    <row r="26" spans="1:16">
      <c r="A26" t="s">
        <v>259</v>
      </c>
      <c r="B26" t="s">
        <v>264</v>
      </c>
      <c r="C26" s="1">
        <v>32334</v>
      </c>
      <c r="D26">
        <v>-42.833300000000001</v>
      </c>
      <c r="E26">
        <v>171.25</v>
      </c>
      <c r="F26">
        <v>10</v>
      </c>
      <c r="G26">
        <v>100</v>
      </c>
      <c r="H26">
        <v>0.68</v>
      </c>
      <c r="I26">
        <v>0.34</v>
      </c>
      <c r="J26">
        <v>1.1100000000000001</v>
      </c>
      <c r="K26">
        <v>0.54</v>
      </c>
      <c r="L26">
        <v>0.19</v>
      </c>
      <c r="M26">
        <v>0.9</v>
      </c>
      <c r="N26">
        <v>0.9</v>
      </c>
      <c r="O26">
        <v>0.28999999999999998</v>
      </c>
      <c r="P26">
        <v>0.25</v>
      </c>
    </row>
    <row r="27" spans="1:16">
      <c r="A27" t="s">
        <v>259</v>
      </c>
      <c r="B27" t="s">
        <v>264</v>
      </c>
      <c r="C27" s="1">
        <v>32334</v>
      </c>
      <c r="D27">
        <v>-42.833300000000001</v>
      </c>
      <c r="E27">
        <v>171.25</v>
      </c>
      <c r="F27">
        <v>40</v>
      </c>
      <c r="G27">
        <v>40</v>
      </c>
      <c r="H27">
        <v>0.6</v>
      </c>
      <c r="I27" t="s">
        <v>64</v>
      </c>
      <c r="J27">
        <v>1.29</v>
      </c>
      <c r="K27">
        <v>0.59</v>
      </c>
      <c r="L27" t="s">
        <v>64</v>
      </c>
      <c r="M27">
        <v>0.35</v>
      </c>
      <c r="N27">
        <v>0.26</v>
      </c>
      <c r="O27" t="s">
        <v>64</v>
      </c>
    </row>
    <row r="28" spans="1:16">
      <c r="A28" t="s">
        <v>259</v>
      </c>
      <c r="B28" t="s">
        <v>264</v>
      </c>
      <c r="C28" s="1">
        <v>32334</v>
      </c>
      <c r="D28">
        <v>-42.833300000000001</v>
      </c>
      <c r="E28">
        <v>171.25</v>
      </c>
      <c r="F28">
        <v>50</v>
      </c>
      <c r="G28">
        <v>7</v>
      </c>
      <c r="H28">
        <v>0.84</v>
      </c>
      <c r="I28">
        <v>0.47</v>
      </c>
      <c r="J28">
        <v>2.0099999999999998</v>
      </c>
      <c r="K28">
        <v>0.32</v>
      </c>
      <c r="L28">
        <v>0.16</v>
      </c>
      <c r="M28" t="s">
        <v>64</v>
      </c>
      <c r="N28" t="s">
        <v>64</v>
      </c>
      <c r="O28">
        <v>0.11</v>
      </c>
      <c r="P28">
        <v>0.09</v>
      </c>
    </row>
    <row r="32" spans="1:16">
      <c r="C32" s="40"/>
      <c r="D32" s="40"/>
    </row>
    <row r="33" spans="2:4">
      <c r="C33" s="40"/>
      <c r="D33" s="40"/>
    </row>
    <row r="34" spans="2:4">
      <c r="C34" s="40"/>
      <c r="D34" s="40"/>
    </row>
    <row r="35" spans="2:4">
      <c r="C35" s="40"/>
      <c r="D35" s="40"/>
    </row>
    <row r="36" spans="2:4">
      <c r="C36" s="40"/>
      <c r="D36" s="40"/>
    </row>
    <row r="37" spans="2:4">
      <c r="C37" s="40"/>
      <c r="D37" s="40"/>
    </row>
    <row r="38" spans="2:4">
      <c r="B38" s="41"/>
      <c r="C38" s="40"/>
      <c r="D38" s="40"/>
    </row>
    <row r="39" spans="2:4">
      <c r="C39" s="40"/>
      <c r="D39" s="40"/>
    </row>
    <row r="40" spans="2:4">
      <c r="C40" s="40"/>
      <c r="D40" s="40"/>
    </row>
    <row r="41" spans="2:4">
      <c r="C41" s="40"/>
      <c r="D41" s="40"/>
    </row>
    <row r="42" spans="2:4">
      <c r="C42" s="40"/>
      <c r="D42" s="40"/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3AB5-2DCD-E34F-8E2B-194B28468E3B}">
  <dimension ref="A1:K9"/>
  <sheetViews>
    <sheetView topLeftCell="D1" workbookViewId="0">
      <selection activeCell="J1" sqref="J1"/>
    </sheetView>
  </sheetViews>
  <sheetFormatPr baseColWidth="10" defaultRowHeight="20"/>
  <sheetData>
    <row r="1" spans="1:11">
      <c r="A1" t="s">
        <v>245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</row>
    <row r="2" spans="1:11">
      <c r="A2" t="s">
        <v>232</v>
      </c>
      <c r="B2" t="s">
        <v>275</v>
      </c>
      <c r="C2" t="s">
        <v>276</v>
      </c>
      <c r="D2">
        <v>18.3</v>
      </c>
      <c r="E2">
        <v>13.5</v>
      </c>
      <c r="F2">
        <v>12.1</v>
      </c>
      <c r="G2">
        <v>10.1</v>
      </c>
      <c r="H2">
        <v>3.6</v>
      </c>
      <c r="I2">
        <v>1</v>
      </c>
      <c r="J2">
        <v>2.6</v>
      </c>
      <c r="K2">
        <v>2.4</v>
      </c>
    </row>
    <row r="3" spans="1:11">
      <c r="A3" t="s">
        <v>232</v>
      </c>
      <c r="B3" t="s">
        <v>275</v>
      </c>
      <c r="C3" t="s">
        <v>277</v>
      </c>
      <c r="D3">
        <v>10.4</v>
      </c>
      <c r="E3">
        <v>17.3</v>
      </c>
      <c r="F3">
        <v>8.5</v>
      </c>
      <c r="G3">
        <v>13</v>
      </c>
      <c r="H3">
        <v>3.2</v>
      </c>
      <c r="I3">
        <v>1.3</v>
      </c>
      <c r="J3">
        <v>1.4</v>
      </c>
      <c r="K3">
        <v>3</v>
      </c>
    </row>
    <row r="4" spans="1:11">
      <c r="A4" t="s">
        <v>232</v>
      </c>
      <c r="B4" t="s">
        <v>278</v>
      </c>
      <c r="C4" t="s">
        <v>276</v>
      </c>
      <c r="D4">
        <v>3.7</v>
      </c>
      <c r="E4">
        <v>84.1</v>
      </c>
      <c r="F4">
        <v>2.6</v>
      </c>
      <c r="G4">
        <v>9.4</v>
      </c>
      <c r="H4">
        <v>0.6</v>
      </c>
      <c r="I4">
        <v>72</v>
      </c>
      <c r="J4">
        <v>0.5</v>
      </c>
      <c r="K4">
        <v>2.7</v>
      </c>
    </row>
    <row r="5" spans="1:11">
      <c r="A5" t="s">
        <v>232</v>
      </c>
      <c r="B5" t="s">
        <v>278</v>
      </c>
      <c r="C5" t="s">
        <v>277</v>
      </c>
      <c r="D5">
        <v>1.3</v>
      </c>
      <c r="E5">
        <v>109</v>
      </c>
      <c r="F5">
        <v>1.2</v>
      </c>
      <c r="G5">
        <v>10.199999999999999</v>
      </c>
      <c r="H5">
        <v>0.5</v>
      </c>
      <c r="I5">
        <v>95.5</v>
      </c>
      <c r="J5">
        <v>0.3</v>
      </c>
      <c r="K5">
        <v>3.5</v>
      </c>
    </row>
    <row r="6" spans="1:11">
      <c r="A6" t="s">
        <v>253</v>
      </c>
      <c r="B6" t="s">
        <v>275</v>
      </c>
      <c r="C6" t="s">
        <v>276</v>
      </c>
      <c r="D6">
        <v>449</v>
      </c>
      <c r="E6">
        <v>268</v>
      </c>
      <c r="F6">
        <v>356</v>
      </c>
      <c r="G6">
        <v>218</v>
      </c>
      <c r="H6">
        <v>37</v>
      </c>
      <c r="I6">
        <v>6.8</v>
      </c>
      <c r="J6">
        <v>55.9</v>
      </c>
      <c r="K6">
        <v>42.7</v>
      </c>
    </row>
    <row r="7" spans="1:11">
      <c r="A7" t="s">
        <v>253</v>
      </c>
      <c r="B7" t="s">
        <v>275</v>
      </c>
      <c r="C7" t="s">
        <v>277</v>
      </c>
      <c r="D7">
        <v>351</v>
      </c>
      <c r="E7">
        <v>200</v>
      </c>
      <c r="F7">
        <v>271</v>
      </c>
      <c r="G7">
        <v>116</v>
      </c>
      <c r="H7">
        <v>61.4</v>
      </c>
      <c r="I7">
        <v>4</v>
      </c>
      <c r="J7">
        <v>34.700000000000003</v>
      </c>
      <c r="K7">
        <v>32.1</v>
      </c>
    </row>
    <row r="8" spans="1:11">
      <c r="A8" t="s">
        <v>253</v>
      </c>
      <c r="B8" t="s">
        <v>278</v>
      </c>
      <c r="C8" t="s">
        <v>276</v>
      </c>
      <c r="D8">
        <v>94.8</v>
      </c>
      <c r="E8">
        <v>40.700000000000003</v>
      </c>
      <c r="F8">
        <v>69.3</v>
      </c>
      <c r="G8">
        <v>23.6</v>
      </c>
      <c r="H8">
        <v>4</v>
      </c>
      <c r="I8">
        <v>9</v>
      </c>
      <c r="J8">
        <v>21.5</v>
      </c>
      <c r="K8">
        <v>8.1</v>
      </c>
    </row>
    <row r="9" spans="1:11">
      <c r="A9" t="s">
        <v>253</v>
      </c>
      <c r="B9" t="s">
        <v>278</v>
      </c>
      <c r="C9" t="s">
        <v>277</v>
      </c>
      <c r="D9">
        <v>82</v>
      </c>
      <c r="E9">
        <v>10.4</v>
      </c>
      <c r="F9">
        <v>63.9</v>
      </c>
      <c r="G9">
        <v>7.6</v>
      </c>
      <c r="H9">
        <v>2.8</v>
      </c>
      <c r="I9">
        <v>0.4</v>
      </c>
      <c r="J9">
        <v>17.399999999999999</v>
      </c>
      <c r="K9">
        <v>2.4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6E9A-7816-6E4B-874E-C1074BB03620}">
  <dimension ref="A1:Y25"/>
  <sheetViews>
    <sheetView workbookViewId="0">
      <selection activeCell="H1" sqref="F1:H1"/>
    </sheetView>
  </sheetViews>
  <sheetFormatPr baseColWidth="10" defaultRowHeight="20"/>
  <cols>
    <col min="3" max="3" width="20.85546875" bestFit="1" customWidth="1"/>
    <col min="13" max="13" width="22.7109375" bestFit="1" customWidth="1"/>
    <col min="14" max="14" width="23" bestFit="1" customWidth="1"/>
    <col min="15" max="15" width="23.42578125" bestFit="1" customWidth="1"/>
  </cols>
  <sheetData>
    <row r="1" spans="1:19">
      <c r="A1" t="s">
        <v>246</v>
      </c>
      <c r="B1" t="s">
        <v>419</v>
      </c>
      <c r="C1" t="s">
        <v>4</v>
      </c>
      <c r="D1" t="s">
        <v>5</v>
      </c>
      <c r="E1" t="s">
        <v>383</v>
      </c>
      <c r="F1" s="10" t="s">
        <v>53</v>
      </c>
      <c r="G1" s="8" t="s">
        <v>52</v>
      </c>
      <c r="H1" s="7" t="s">
        <v>421</v>
      </c>
      <c r="J1" t="s">
        <v>384</v>
      </c>
      <c r="K1" t="s">
        <v>385</v>
      </c>
      <c r="L1" t="s">
        <v>386</v>
      </c>
      <c r="M1" t="s">
        <v>417</v>
      </c>
      <c r="N1" t="s">
        <v>388</v>
      </c>
      <c r="O1" t="s">
        <v>387</v>
      </c>
      <c r="P1" t="s">
        <v>389</v>
      </c>
      <c r="Q1" t="s">
        <v>390</v>
      </c>
      <c r="R1" t="s">
        <v>391</v>
      </c>
    </row>
    <row r="2" spans="1:19">
      <c r="A2" t="s">
        <v>392</v>
      </c>
      <c r="B2" s="1">
        <v>34455</v>
      </c>
      <c r="C2">
        <v>55.284399999999998</v>
      </c>
      <c r="D2">
        <v>3.2444000000000002</v>
      </c>
      <c r="E2">
        <v>10</v>
      </c>
      <c r="F2">
        <v>2.5000000000000001E-2</v>
      </c>
      <c r="G2">
        <v>1.4999999999999999E-2</v>
      </c>
      <c r="H2">
        <v>0.13600000000000001</v>
      </c>
      <c r="J2">
        <v>0.04</v>
      </c>
      <c r="K2">
        <v>0.12</v>
      </c>
      <c r="L2">
        <v>0.06</v>
      </c>
      <c r="M2">
        <v>2.5000000000000001E-2</v>
      </c>
      <c r="N2">
        <v>1.4999999999999999E-2</v>
      </c>
      <c r="O2">
        <v>0.13600000000000001</v>
      </c>
      <c r="P2">
        <v>0.15</v>
      </c>
      <c r="Q2">
        <v>5.9</v>
      </c>
      <c r="R2" t="s">
        <v>64</v>
      </c>
    </row>
    <row r="3" spans="1:19">
      <c r="A3" t="s">
        <v>393</v>
      </c>
      <c r="B3" s="1">
        <v>34455</v>
      </c>
      <c r="C3">
        <v>55.518900000000002</v>
      </c>
      <c r="D3">
        <v>2.8856000000000002</v>
      </c>
      <c r="E3">
        <v>10</v>
      </c>
      <c r="F3">
        <v>2.5000000000000001E-2</v>
      </c>
      <c r="G3">
        <v>1.4999999999999999E-2</v>
      </c>
      <c r="H3">
        <v>0.13600000000000001</v>
      </c>
      <c r="J3" t="s">
        <v>64</v>
      </c>
      <c r="K3">
        <v>3.7</v>
      </c>
      <c r="L3">
        <v>5.6000000000000001E-2</v>
      </c>
      <c r="M3">
        <v>2.5000000000000001E-2</v>
      </c>
      <c r="N3">
        <v>1.4999999999999999E-2</v>
      </c>
      <c r="O3">
        <v>0.13600000000000001</v>
      </c>
      <c r="P3">
        <v>0.05</v>
      </c>
      <c r="Q3">
        <v>0.93</v>
      </c>
      <c r="R3" t="s">
        <v>64</v>
      </c>
    </row>
    <row r="4" spans="1:19">
      <c r="A4" t="s">
        <v>394</v>
      </c>
      <c r="B4" s="1">
        <v>34455</v>
      </c>
      <c r="C4">
        <v>55.5456</v>
      </c>
      <c r="D4">
        <v>3.3186</v>
      </c>
      <c r="E4">
        <v>10</v>
      </c>
      <c r="F4">
        <v>4.0000000000000001E-3</v>
      </c>
      <c r="G4">
        <v>7.0000000000000001E-3</v>
      </c>
      <c r="H4">
        <v>0.11600000000000001</v>
      </c>
      <c r="J4">
        <v>0.01</v>
      </c>
      <c r="K4">
        <v>4.43</v>
      </c>
      <c r="L4">
        <v>3.5999999999999997E-2</v>
      </c>
      <c r="M4">
        <v>4.0000000000000001E-3</v>
      </c>
      <c r="N4">
        <v>7.0000000000000001E-3</v>
      </c>
      <c r="O4">
        <v>0.11600000000000001</v>
      </c>
      <c r="P4">
        <v>0.33</v>
      </c>
      <c r="Q4">
        <v>3.4</v>
      </c>
      <c r="R4" t="s">
        <v>64</v>
      </c>
    </row>
    <row r="5" spans="1:19">
      <c r="A5" t="s">
        <v>395</v>
      </c>
      <c r="B5" s="1">
        <v>34455</v>
      </c>
      <c r="C5">
        <v>55.431100000000001</v>
      </c>
      <c r="D5">
        <v>2.7021999999999999</v>
      </c>
      <c r="E5">
        <v>10</v>
      </c>
      <c r="F5">
        <v>3.6999999999999998E-2</v>
      </c>
      <c r="G5">
        <v>6.0000000000000001E-3</v>
      </c>
      <c r="H5">
        <v>0.28499999999999998</v>
      </c>
      <c r="J5">
        <v>0.06</v>
      </c>
      <c r="K5">
        <v>3.75</v>
      </c>
      <c r="L5">
        <v>2.5999999999999999E-2</v>
      </c>
      <c r="M5">
        <v>3.6999999999999998E-2</v>
      </c>
      <c r="N5">
        <v>6.0000000000000001E-3</v>
      </c>
      <c r="O5">
        <v>0.28499999999999998</v>
      </c>
      <c r="P5">
        <v>0.39</v>
      </c>
      <c r="Q5">
        <v>9.01</v>
      </c>
      <c r="R5">
        <v>0.11</v>
      </c>
      <c r="S5">
        <v>0.44</v>
      </c>
    </row>
    <row r="6" spans="1:19">
      <c r="A6" t="s">
        <v>396</v>
      </c>
      <c r="B6" s="1">
        <v>34455</v>
      </c>
      <c r="C6">
        <v>56.050800000000002</v>
      </c>
      <c r="D6">
        <v>2.6482999999999999</v>
      </c>
      <c r="E6">
        <v>10</v>
      </c>
      <c r="F6">
        <v>1.7999999999999999E-2</v>
      </c>
      <c r="G6">
        <v>1E-3</v>
      </c>
      <c r="H6">
        <v>4.4999999999999998E-2</v>
      </c>
      <c r="J6">
        <v>0.09</v>
      </c>
      <c r="K6">
        <v>6.83</v>
      </c>
      <c r="L6">
        <v>1E-3</v>
      </c>
      <c r="M6">
        <v>1.7999999999999999E-2</v>
      </c>
      <c r="N6" t="s">
        <v>397</v>
      </c>
      <c r="O6">
        <v>4.4999999999999998E-2</v>
      </c>
      <c r="P6">
        <v>0.27</v>
      </c>
      <c r="Q6">
        <v>1.42</v>
      </c>
      <c r="R6">
        <v>0.21</v>
      </c>
      <c r="S6">
        <v>0.77</v>
      </c>
    </row>
    <row r="7" spans="1:19">
      <c r="A7" t="s">
        <v>398</v>
      </c>
      <c r="B7" s="1">
        <v>34455</v>
      </c>
      <c r="C7">
        <v>56.651400000000002</v>
      </c>
      <c r="D7">
        <v>2.355</v>
      </c>
      <c r="E7">
        <v>10</v>
      </c>
      <c r="F7">
        <v>2E-3</v>
      </c>
      <c r="G7">
        <v>1E-3</v>
      </c>
      <c r="H7">
        <v>2.5999999999999999E-2</v>
      </c>
      <c r="J7">
        <v>0.02</v>
      </c>
      <c r="K7">
        <v>7.79</v>
      </c>
      <c r="L7">
        <v>4.3999999999999997E-2</v>
      </c>
      <c r="M7">
        <v>2E-3</v>
      </c>
      <c r="N7">
        <v>1E-3</v>
      </c>
      <c r="O7">
        <v>2.5999999999999999E-2</v>
      </c>
      <c r="P7">
        <v>0.33</v>
      </c>
      <c r="Q7">
        <v>0.51</v>
      </c>
      <c r="R7" t="s">
        <v>64</v>
      </c>
      <c r="S7" t="s">
        <v>64</v>
      </c>
    </row>
    <row r="8" spans="1:19">
      <c r="A8" t="s">
        <v>399</v>
      </c>
      <c r="B8" s="1">
        <v>34455</v>
      </c>
      <c r="C8">
        <v>57.019199999999998</v>
      </c>
      <c r="D8">
        <v>1.9981</v>
      </c>
      <c r="E8">
        <v>10</v>
      </c>
      <c r="F8">
        <v>3.0000000000000001E-3</v>
      </c>
      <c r="G8">
        <v>5.0000000000000001E-3</v>
      </c>
      <c r="H8">
        <v>2.4E-2</v>
      </c>
      <c r="J8">
        <v>0.02</v>
      </c>
      <c r="K8">
        <v>6.45</v>
      </c>
      <c r="L8">
        <v>0.02</v>
      </c>
      <c r="M8">
        <v>3.0000000000000001E-3</v>
      </c>
      <c r="N8">
        <v>5.0000000000000001E-3</v>
      </c>
      <c r="O8">
        <v>2.4E-2</v>
      </c>
      <c r="P8">
        <v>0.19</v>
      </c>
      <c r="Q8">
        <v>0.34</v>
      </c>
      <c r="R8">
        <v>0.21</v>
      </c>
      <c r="S8">
        <v>0.31</v>
      </c>
    </row>
    <row r="9" spans="1:19">
      <c r="A9" t="s">
        <v>400</v>
      </c>
      <c r="B9" s="1">
        <v>34455</v>
      </c>
      <c r="C9">
        <v>57.561100000000003</v>
      </c>
      <c r="D9">
        <v>1.8835999999999999</v>
      </c>
      <c r="E9">
        <v>10</v>
      </c>
      <c r="F9">
        <v>2E-3</v>
      </c>
      <c r="G9">
        <v>2E-3</v>
      </c>
      <c r="H9">
        <v>1.0999999999999999E-2</v>
      </c>
      <c r="J9">
        <v>0.02</v>
      </c>
      <c r="K9">
        <v>8.66</v>
      </c>
      <c r="L9">
        <v>1.6E-2</v>
      </c>
      <c r="M9">
        <v>2E-3</v>
      </c>
      <c r="N9">
        <v>2E-3</v>
      </c>
      <c r="O9">
        <v>1.0999999999999999E-2</v>
      </c>
      <c r="P9">
        <v>0.35</v>
      </c>
      <c r="Q9">
        <v>0.35</v>
      </c>
      <c r="R9">
        <v>0.23</v>
      </c>
      <c r="S9">
        <v>0.28999999999999998</v>
      </c>
    </row>
    <row r="10" spans="1:19">
      <c r="A10" t="s">
        <v>401</v>
      </c>
      <c r="B10" s="1">
        <v>34455</v>
      </c>
      <c r="C10">
        <v>57.472200000000001</v>
      </c>
      <c r="D10">
        <v>1.4489000000000001</v>
      </c>
      <c r="E10">
        <v>10</v>
      </c>
      <c r="F10">
        <v>8.0000000000000002E-3</v>
      </c>
      <c r="G10">
        <v>5.0000000000000001E-3</v>
      </c>
      <c r="H10">
        <v>0.02</v>
      </c>
      <c r="J10">
        <v>0.04</v>
      </c>
      <c r="K10">
        <v>8.36</v>
      </c>
      <c r="L10">
        <v>3.5000000000000003E-2</v>
      </c>
      <c r="M10">
        <v>8.0000000000000002E-3</v>
      </c>
      <c r="N10">
        <v>5.0000000000000001E-3</v>
      </c>
      <c r="O10">
        <v>0.02</v>
      </c>
      <c r="P10">
        <v>0.14000000000000001</v>
      </c>
      <c r="Q10">
        <v>0.36</v>
      </c>
      <c r="R10">
        <v>0.27</v>
      </c>
      <c r="S10">
        <v>0.33</v>
      </c>
    </row>
    <row r="11" spans="1:19">
      <c r="A11" t="s">
        <v>402</v>
      </c>
      <c r="B11" s="1">
        <v>34455</v>
      </c>
      <c r="C11">
        <v>57.991100000000003</v>
      </c>
      <c r="D11">
        <v>1.3519000000000001</v>
      </c>
      <c r="E11">
        <v>10</v>
      </c>
      <c r="F11">
        <v>2E-3</v>
      </c>
      <c r="G11">
        <v>5.0000000000000001E-3</v>
      </c>
      <c r="H11">
        <v>0.02</v>
      </c>
      <c r="J11">
        <v>0.02</v>
      </c>
      <c r="K11">
        <v>9.1199999999999992</v>
      </c>
      <c r="L11">
        <v>7.8E-2</v>
      </c>
      <c r="M11">
        <v>2E-3</v>
      </c>
      <c r="N11">
        <v>5.0000000000000001E-3</v>
      </c>
      <c r="O11">
        <v>0.02</v>
      </c>
      <c r="P11">
        <v>0.17</v>
      </c>
      <c r="Q11">
        <v>0.31</v>
      </c>
      <c r="R11">
        <v>0.17</v>
      </c>
      <c r="S11">
        <v>0.27</v>
      </c>
    </row>
    <row r="12" spans="1:19">
      <c r="A12" t="s">
        <v>403</v>
      </c>
      <c r="B12" s="1">
        <v>34455</v>
      </c>
      <c r="C12">
        <v>58.454999999999998</v>
      </c>
      <c r="D12">
        <v>1.0417000000000001</v>
      </c>
      <c r="E12">
        <v>10</v>
      </c>
      <c r="F12">
        <v>4.0000000000000001E-3</v>
      </c>
      <c r="G12">
        <v>8.9999999999999993E-3</v>
      </c>
      <c r="H12">
        <v>1.0999999999999999E-2</v>
      </c>
      <c r="J12">
        <v>0.02</v>
      </c>
      <c r="K12">
        <v>9.15</v>
      </c>
      <c r="L12">
        <v>0.11</v>
      </c>
      <c r="M12">
        <v>4.0000000000000001E-3</v>
      </c>
      <c r="N12">
        <v>8.9999999999999993E-3</v>
      </c>
      <c r="O12">
        <v>1.0999999999999999E-2</v>
      </c>
      <c r="P12">
        <v>0.22</v>
      </c>
      <c r="Q12">
        <v>0.37</v>
      </c>
      <c r="R12">
        <v>0.05</v>
      </c>
      <c r="S12">
        <v>0.15</v>
      </c>
    </row>
    <row r="13" spans="1:19">
      <c r="A13" t="s">
        <v>404</v>
      </c>
      <c r="B13" s="1">
        <v>34455</v>
      </c>
      <c r="C13">
        <v>58.494999999999997</v>
      </c>
      <c r="D13">
        <v>1.3686</v>
      </c>
      <c r="E13">
        <v>10</v>
      </c>
      <c r="F13">
        <v>5.0000000000000001E-3</v>
      </c>
      <c r="G13">
        <v>8.9999999999999993E-3</v>
      </c>
      <c r="H13">
        <v>2.1999999999999999E-2</v>
      </c>
      <c r="J13">
        <v>0.02</v>
      </c>
      <c r="K13">
        <v>9.0500000000000007</v>
      </c>
      <c r="L13">
        <v>8.2000000000000003E-2</v>
      </c>
      <c r="M13">
        <v>5.0000000000000001E-3</v>
      </c>
      <c r="N13">
        <v>8.9999999999999993E-3</v>
      </c>
      <c r="O13">
        <v>2.1999999999999999E-2</v>
      </c>
      <c r="P13">
        <v>0.14000000000000001</v>
      </c>
      <c r="Q13">
        <v>0.59</v>
      </c>
      <c r="R13">
        <v>0.15</v>
      </c>
      <c r="S13">
        <v>0.35</v>
      </c>
    </row>
    <row r="14" spans="1:19">
      <c r="A14" t="s">
        <v>405</v>
      </c>
      <c r="B14" s="1">
        <v>34455</v>
      </c>
      <c r="C14">
        <v>58.404699999999998</v>
      </c>
      <c r="D14">
        <v>0.75890000000000002</v>
      </c>
      <c r="E14">
        <v>10</v>
      </c>
      <c r="F14">
        <v>4.0000000000000001E-3</v>
      </c>
      <c r="G14">
        <v>8.0000000000000002E-3</v>
      </c>
      <c r="H14">
        <v>2.1000000000000001E-2</v>
      </c>
      <c r="J14">
        <v>0.02</v>
      </c>
      <c r="K14">
        <v>8.6</v>
      </c>
      <c r="L14">
        <v>4.9000000000000002E-2</v>
      </c>
      <c r="M14">
        <v>4.0000000000000001E-3</v>
      </c>
      <c r="N14">
        <v>8.0000000000000002E-3</v>
      </c>
      <c r="O14">
        <v>2.1000000000000001E-2</v>
      </c>
      <c r="P14">
        <v>0.12</v>
      </c>
      <c r="Q14">
        <v>0.41</v>
      </c>
      <c r="R14" t="s">
        <v>64</v>
      </c>
      <c r="S14" t="s">
        <v>64</v>
      </c>
    </row>
    <row r="15" spans="1:19">
      <c r="A15" t="s">
        <v>406</v>
      </c>
      <c r="B15" s="1">
        <v>34455</v>
      </c>
      <c r="C15">
        <v>58.884999999999998</v>
      </c>
      <c r="D15">
        <v>0.73419999999999996</v>
      </c>
      <c r="E15">
        <v>10</v>
      </c>
      <c r="F15">
        <v>8.0000000000000002E-3</v>
      </c>
      <c r="G15">
        <v>2E-3</v>
      </c>
      <c r="H15">
        <v>2.4E-2</v>
      </c>
      <c r="J15">
        <v>0.05</v>
      </c>
      <c r="K15">
        <v>8.73</v>
      </c>
      <c r="L15">
        <v>1.4999999999999999E-2</v>
      </c>
      <c r="M15">
        <v>8.0000000000000002E-3</v>
      </c>
      <c r="N15">
        <v>2E-3</v>
      </c>
      <c r="O15">
        <v>2.4E-2</v>
      </c>
      <c r="P15">
        <v>0.27</v>
      </c>
      <c r="Q15">
        <v>0.32</v>
      </c>
      <c r="R15">
        <v>0.26</v>
      </c>
      <c r="S15">
        <v>0.47</v>
      </c>
    </row>
    <row r="16" spans="1:19">
      <c r="A16" t="s">
        <v>407</v>
      </c>
      <c r="B16" s="1">
        <v>34455</v>
      </c>
      <c r="C16">
        <v>59.333300000000001</v>
      </c>
      <c r="D16">
        <v>0.39</v>
      </c>
      <c r="E16">
        <v>10</v>
      </c>
      <c r="F16">
        <v>2.1000000000000001E-2</v>
      </c>
      <c r="G16">
        <v>1E-3</v>
      </c>
      <c r="H16">
        <v>3.5999999999999997E-2</v>
      </c>
      <c r="J16">
        <v>0.06</v>
      </c>
      <c r="K16">
        <v>9.6199999999999992</v>
      </c>
      <c r="L16">
        <v>1E-3</v>
      </c>
      <c r="M16">
        <v>2.1000000000000001E-2</v>
      </c>
      <c r="N16" t="s">
        <v>397</v>
      </c>
      <c r="O16">
        <v>3.5999999999999997E-2</v>
      </c>
      <c r="P16">
        <v>0.19</v>
      </c>
      <c r="Q16">
        <v>0.33</v>
      </c>
      <c r="R16">
        <v>0.26</v>
      </c>
      <c r="S16">
        <v>0.37</v>
      </c>
    </row>
    <row r="17" spans="1:25">
      <c r="A17" t="s">
        <v>408</v>
      </c>
      <c r="B17" s="1">
        <v>34455</v>
      </c>
      <c r="C17">
        <v>59.401699999999998</v>
      </c>
      <c r="D17">
        <v>0.72809999999999997</v>
      </c>
      <c r="E17">
        <v>10</v>
      </c>
      <c r="F17">
        <v>8.0000000000000002E-3</v>
      </c>
      <c r="G17">
        <v>1E-3</v>
      </c>
      <c r="H17">
        <v>2.5000000000000001E-2</v>
      </c>
      <c r="J17">
        <v>0.05</v>
      </c>
      <c r="K17">
        <v>9.0299999999999994</v>
      </c>
      <c r="L17">
        <v>1E-3</v>
      </c>
      <c r="M17">
        <v>8.0000000000000002E-3</v>
      </c>
      <c r="N17" t="s">
        <v>397</v>
      </c>
      <c r="O17">
        <v>2.5000000000000001E-2</v>
      </c>
      <c r="P17">
        <v>0.14000000000000001</v>
      </c>
      <c r="Q17">
        <v>0.35</v>
      </c>
      <c r="R17">
        <v>0.23</v>
      </c>
      <c r="S17">
        <v>0.43</v>
      </c>
    </row>
    <row r="18" spans="1:25">
      <c r="A18" t="s">
        <v>409</v>
      </c>
      <c r="B18" s="1">
        <v>34455</v>
      </c>
      <c r="C18">
        <v>59.283099999999997</v>
      </c>
      <c r="D18">
        <v>0.1036</v>
      </c>
      <c r="E18">
        <v>10</v>
      </c>
      <c r="F18">
        <v>5.0000000000000001E-3</v>
      </c>
      <c r="G18">
        <v>1E-3</v>
      </c>
      <c r="H18">
        <v>0.05</v>
      </c>
      <c r="J18">
        <v>0.05</v>
      </c>
      <c r="K18">
        <v>9.48</v>
      </c>
      <c r="L18">
        <v>1.7999999999999999E-2</v>
      </c>
      <c r="M18">
        <v>5.0000000000000001E-3</v>
      </c>
      <c r="N18">
        <v>1E-3</v>
      </c>
      <c r="O18">
        <v>0.05</v>
      </c>
      <c r="P18">
        <v>0.14000000000000001</v>
      </c>
      <c r="Q18">
        <v>0.46</v>
      </c>
      <c r="R18">
        <v>0.4</v>
      </c>
      <c r="S18">
        <v>0.69</v>
      </c>
    </row>
    <row r="19" spans="1:25">
      <c r="A19" t="s">
        <v>410</v>
      </c>
      <c r="B19" s="1">
        <v>34455</v>
      </c>
      <c r="C19">
        <v>59.792200000000001</v>
      </c>
      <c r="D19">
        <v>0.1086</v>
      </c>
      <c r="E19">
        <v>10</v>
      </c>
      <c r="F19">
        <v>1.2999999999999999E-2</v>
      </c>
      <c r="G19">
        <v>1E-3</v>
      </c>
      <c r="H19">
        <v>2.3E-2</v>
      </c>
      <c r="J19">
        <v>0.11</v>
      </c>
      <c r="K19">
        <v>10.1</v>
      </c>
      <c r="L19">
        <v>1.2E-2</v>
      </c>
      <c r="M19">
        <v>1.2999999999999999E-2</v>
      </c>
      <c r="N19">
        <v>1E-3</v>
      </c>
      <c r="O19">
        <v>2.3E-2</v>
      </c>
      <c r="P19">
        <v>0.14000000000000001</v>
      </c>
      <c r="Q19">
        <v>0.28000000000000003</v>
      </c>
      <c r="R19">
        <v>0.17</v>
      </c>
      <c r="S19">
        <v>0.42</v>
      </c>
    </row>
    <row r="20" spans="1:25">
      <c r="A20" t="s">
        <v>411</v>
      </c>
      <c r="B20" s="1">
        <v>34455</v>
      </c>
      <c r="C20">
        <v>60.353299999999997</v>
      </c>
      <c r="D20">
        <v>5.4399999999999997E-2</v>
      </c>
      <c r="E20">
        <v>10</v>
      </c>
      <c r="F20">
        <v>8.0000000000000002E-3</v>
      </c>
      <c r="G20">
        <v>2E-3</v>
      </c>
      <c r="H20">
        <v>6.3E-2</v>
      </c>
      <c r="J20">
        <v>0.11</v>
      </c>
      <c r="K20">
        <v>11.5</v>
      </c>
      <c r="L20">
        <v>5.3999999999999999E-2</v>
      </c>
      <c r="M20">
        <v>8.0000000000000002E-3</v>
      </c>
      <c r="N20">
        <v>2E-3</v>
      </c>
      <c r="O20">
        <v>6.3E-2</v>
      </c>
      <c r="P20">
        <v>0.17</v>
      </c>
      <c r="Q20">
        <v>0.38</v>
      </c>
      <c r="R20">
        <v>0.28000000000000003</v>
      </c>
      <c r="S20">
        <v>0.44</v>
      </c>
    </row>
    <row r="21" spans="1:25">
      <c r="A21" t="s">
        <v>412</v>
      </c>
      <c r="B21" s="1">
        <v>34455</v>
      </c>
      <c r="C21">
        <v>60.251399999999997</v>
      </c>
      <c r="D21">
        <v>0.56310000000000004</v>
      </c>
      <c r="E21">
        <v>10</v>
      </c>
      <c r="F21">
        <v>1.2999999999999999E-2</v>
      </c>
      <c r="G21">
        <v>2E-3</v>
      </c>
      <c r="H21">
        <v>2.3E-2</v>
      </c>
      <c r="J21">
        <v>0.16</v>
      </c>
      <c r="K21">
        <v>10.9</v>
      </c>
      <c r="L21">
        <v>2.5000000000000001E-2</v>
      </c>
      <c r="M21">
        <v>1.2999999999999999E-2</v>
      </c>
      <c r="N21">
        <v>2E-3</v>
      </c>
      <c r="O21">
        <v>2.3E-2</v>
      </c>
      <c r="P21">
        <v>0.18</v>
      </c>
      <c r="Q21">
        <v>0.47</v>
      </c>
      <c r="R21">
        <v>0.25</v>
      </c>
      <c r="S21">
        <v>0.48</v>
      </c>
    </row>
    <row r="22" spans="1:25">
      <c r="A22" t="s">
        <v>413</v>
      </c>
      <c r="B22" s="1">
        <v>34455</v>
      </c>
      <c r="C22">
        <v>60.665799999999997</v>
      </c>
      <c r="D22">
        <v>0.38419999999999999</v>
      </c>
      <c r="E22">
        <v>10</v>
      </c>
      <c r="F22">
        <v>1.4E-2</v>
      </c>
      <c r="G22">
        <v>3.0000000000000001E-3</v>
      </c>
      <c r="H22">
        <v>1.7000000000000001E-2</v>
      </c>
      <c r="J22">
        <v>0.14000000000000001</v>
      </c>
      <c r="K22">
        <v>10.9</v>
      </c>
      <c r="L22">
        <v>6.4000000000000001E-2</v>
      </c>
      <c r="M22">
        <v>1.4E-2</v>
      </c>
      <c r="N22">
        <v>3.0000000000000001E-3</v>
      </c>
      <c r="O22">
        <v>1.7000000000000001E-2</v>
      </c>
      <c r="P22">
        <v>0.18</v>
      </c>
      <c r="Q22">
        <v>0.42</v>
      </c>
      <c r="R22">
        <v>0.21</v>
      </c>
      <c r="S22">
        <v>0.52</v>
      </c>
    </row>
    <row r="23" spans="1:25">
      <c r="A23" t="s">
        <v>414</v>
      </c>
      <c r="B23" s="1">
        <v>34455</v>
      </c>
      <c r="C23">
        <v>61.006700000000002</v>
      </c>
      <c r="D23">
        <v>0.77190000000000003</v>
      </c>
      <c r="E23">
        <v>10</v>
      </c>
      <c r="F23">
        <v>1.2E-2</v>
      </c>
      <c r="G23">
        <v>1E-3</v>
      </c>
      <c r="H23">
        <v>2.7E-2</v>
      </c>
      <c r="J23">
        <v>0.12</v>
      </c>
      <c r="K23">
        <v>11.3</v>
      </c>
      <c r="L23">
        <v>1.2999999999999999E-2</v>
      </c>
      <c r="M23">
        <v>1.2E-2</v>
      </c>
      <c r="N23">
        <v>1E-3</v>
      </c>
      <c r="O23">
        <v>2.7E-2</v>
      </c>
      <c r="P23">
        <v>0.19</v>
      </c>
      <c r="Q23">
        <v>0.43</v>
      </c>
      <c r="R23">
        <v>0.24</v>
      </c>
      <c r="S23">
        <v>0.44</v>
      </c>
    </row>
    <row r="24" spans="1:25">
      <c r="A24" t="s">
        <v>415</v>
      </c>
      <c r="B24" s="1">
        <v>34455</v>
      </c>
      <c r="C24">
        <v>61.067799999999998</v>
      </c>
      <c r="D24">
        <v>0.4456</v>
      </c>
      <c r="E24">
        <v>10</v>
      </c>
      <c r="F24">
        <v>8.9999999999999993E-3</v>
      </c>
      <c r="G24">
        <v>5.0000000000000001E-3</v>
      </c>
      <c r="H24">
        <v>2.5999999999999999E-2</v>
      </c>
      <c r="J24">
        <v>0.05</v>
      </c>
      <c r="K24">
        <v>10.8</v>
      </c>
      <c r="L24">
        <v>7.1999999999999995E-2</v>
      </c>
      <c r="M24">
        <v>8.9999999999999993E-3</v>
      </c>
      <c r="N24">
        <v>5.0000000000000001E-3</v>
      </c>
      <c r="O24">
        <v>2.5999999999999999E-2</v>
      </c>
      <c r="P24">
        <v>0.19</v>
      </c>
      <c r="Q24">
        <v>0.43</v>
      </c>
      <c r="X24" t="s">
        <v>64</v>
      </c>
      <c r="Y24" t="s">
        <v>64</v>
      </c>
    </row>
    <row r="25" spans="1:25">
      <c r="A25" t="s">
        <v>416</v>
      </c>
      <c r="B25" s="1">
        <v>34455</v>
      </c>
      <c r="C25">
        <v>60.941099999999999</v>
      </c>
      <c r="D25">
        <v>1.0336000000000001</v>
      </c>
      <c r="E25">
        <v>10</v>
      </c>
      <c r="F25">
        <v>8.9999999999999993E-3</v>
      </c>
      <c r="G25">
        <v>5.0000000000000001E-3</v>
      </c>
      <c r="H25">
        <v>2.5999999999999999E-2</v>
      </c>
      <c r="J25">
        <v>0.05</v>
      </c>
      <c r="K25">
        <v>10.8</v>
      </c>
      <c r="L25">
        <v>7.1999999999999995E-2</v>
      </c>
      <c r="M25">
        <v>8.9999999999999993E-3</v>
      </c>
      <c r="N25">
        <v>5.0000000000000001E-3</v>
      </c>
      <c r="O25">
        <v>2.5999999999999999E-2</v>
      </c>
      <c r="P25">
        <v>0.19</v>
      </c>
      <c r="Q25">
        <v>0.43</v>
      </c>
      <c r="R25" t="s">
        <v>64</v>
      </c>
      <c r="S25" t="s">
        <v>64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961E-DF4A-584A-A2C1-5795CE552150}">
  <dimension ref="A1:Z8"/>
  <sheetViews>
    <sheetView workbookViewId="0">
      <selection activeCell="F20" sqref="F20"/>
    </sheetView>
  </sheetViews>
  <sheetFormatPr baseColWidth="10" defaultRowHeight="20"/>
  <cols>
    <col min="4" max="4" width="11.42578125" bestFit="1" customWidth="1"/>
  </cols>
  <sheetData>
    <row r="1" spans="1:26">
      <c r="A1" t="s">
        <v>54</v>
      </c>
      <c r="B1" t="s">
        <v>515</v>
      </c>
      <c r="C1" t="s">
        <v>6</v>
      </c>
      <c r="D1" t="s">
        <v>419</v>
      </c>
      <c r="E1" t="s">
        <v>4</v>
      </c>
      <c r="F1" t="s">
        <v>5</v>
      </c>
      <c r="G1" t="s">
        <v>55</v>
      </c>
      <c r="H1" s="10" t="s">
        <v>53</v>
      </c>
      <c r="I1" s="8" t="s">
        <v>52</v>
      </c>
      <c r="J1" s="7" t="s">
        <v>421</v>
      </c>
      <c r="K1" t="s">
        <v>516</v>
      </c>
      <c r="L1" t="s">
        <v>517</v>
      </c>
      <c r="M1" t="s">
        <v>518</v>
      </c>
      <c r="N1" t="s">
        <v>519</v>
      </c>
      <c r="O1" t="s">
        <v>520</v>
      </c>
      <c r="P1" t="s">
        <v>521</v>
      </c>
      <c r="Q1" t="s">
        <v>533</v>
      </c>
      <c r="R1" t="s">
        <v>534</v>
      </c>
      <c r="S1" t="s">
        <v>535</v>
      </c>
      <c r="T1" t="s">
        <v>536</v>
      </c>
      <c r="U1" t="s">
        <v>537</v>
      </c>
      <c r="V1" t="s">
        <v>243</v>
      </c>
      <c r="W1" t="s">
        <v>538</v>
      </c>
      <c r="X1" t="s">
        <v>539</v>
      </c>
      <c r="Y1" t="s">
        <v>540</v>
      </c>
      <c r="Z1" t="s">
        <v>541</v>
      </c>
    </row>
    <row r="2" spans="1:26">
      <c r="A2" t="s">
        <v>522</v>
      </c>
      <c r="B2" t="s">
        <v>523</v>
      </c>
      <c r="C2" t="s">
        <v>524</v>
      </c>
      <c r="D2" s="1">
        <v>34993</v>
      </c>
      <c r="E2">
        <v>-58.833333333333336</v>
      </c>
      <c r="F2">
        <v>62.05</v>
      </c>
      <c r="G2">
        <v>15</v>
      </c>
      <c r="H2">
        <v>1.4E-2</v>
      </c>
      <c r="I2">
        <v>6.0000000000000001E-3</v>
      </c>
      <c r="J2">
        <v>0.03</v>
      </c>
      <c r="K2">
        <v>28.1</v>
      </c>
      <c r="L2">
        <v>0.17</v>
      </c>
      <c r="M2">
        <v>7.0000000000000007E-2</v>
      </c>
      <c r="N2">
        <v>3.68</v>
      </c>
      <c r="O2">
        <v>0.44</v>
      </c>
      <c r="P2">
        <v>8.5</v>
      </c>
      <c r="Q2">
        <v>2.8E-3</v>
      </c>
      <c r="R2">
        <v>1.2999999999999999E-3</v>
      </c>
      <c r="S2">
        <v>5.9999999999999995E-4</v>
      </c>
      <c r="T2">
        <v>4.7999999999999996E-3</v>
      </c>
      <c r="U2">
        <v>0.05</v>
      </c>
      <c r="V2">
        <v>0.68</v>
      </c>
      <c r="W2">
        <v>0.59</v>
      </c>
      <c r="X2">
        <v>0.6</v>
      </c>
      <c r="Y2">
        <v>46</v>
      </c>
      <c r="Z2">
        <v>52</v>
      </c>
    </row>
    <row r="3" spans="1:26">
      <c r="A3" t="s">
        <v>525</v>
      </c>
      <c r="B3" t="s">
        <v>526</v>
      </c>
      <c r="C3" t="s">
        <v>527</v>
      </c>
      <c r="D3" s="1">
        <v>34985</v>
      </c>
      <c r="E3">
        <v>-52</v>
      </c>
      <c r="F3">
        <v>61.93333333333333</v>
      </c>
      <c r="G3">
        <v>15</v>
      </c>
      <c r="H3">
        <v>0.02</v>
      </c>
      <c r="I3">
        <v>0.01</v>
      </c>
      <c r="J3">
        <v>7.6999999999999999E-2</v>
      </c>
      <c r="K3">
        <v>28.2</v>
      </c>
      <c r="L3">
        <v>0.05</v>
      </c>
      <c r="M3">
        <v>0.12</v>
      </c>
      <c r="N3">
        <v>3.44</v>
      </c>
      <c r="O3">
        <v>0.46</v>
      </c>
      <c r="P3">
        <v>7.5</v>
      </c>
      <c r="Q3">
        <v>7.0000000000000001E-3</v>
      </c>
      <c r="R3">
        <v>1.8E-3</v>
      </c>
      <c r="S3">
        <v>8.9999999999999998E-4</v>
      </c>
      <c r="T3">
        <v>9.7999999999999997E-3</v>
      </c>
      <c r="U3">
        <v>0.107</v>
      </c>
      <c r="V3">
        <v>0.79</v>
      </c>
      <c r="W3">
        <v>0.72</v>
      </c>
      <c r="X3">
        <v>0.72</v>
      </c>
      <c r="Y3">
        <v>106</v>
      </c>
      <c r="Z3">
        <v>23</v>
      </c>
    </row>
    <row r="4" spans="1:26">
      <c r="A4" t="s">
        <v>528</v>
      </c>
      <c r="B4" t="s">
        <v>529</v>
      </c>
      <c r="C4" t="s">
        <v>530</v>
      </c>
      <c r="D4" s="1">
        <v>34984</v>
      </c>
      <c r="E4">
        <v>-49</v>
      </c>
      <c r="F4">
        <v>62.016666666666666</v>
      </c>
      <c r="G4">
        <v>45</v>
      </c>
      <c r="H4">
        <v>3.5000000000000003E-2</v>
      </c>
      <c r="I4">
        <v>2.8000000000000001E-2</v>
      </c>
      <c r="J4">
        <v>5.7000000000000002E-2</v>
      </c>
      <c r="K4">
        <v>26.8</v>
      </c>
      <c r="L4">
        <v>0.04</v>
      </c>
      <c r="M4">
        <v>0.12</v>
      </c>
      <c r="N4">
        <v>7.28</v>
      </c>
      <c r="O4">
        <v>0.75</v>
      </c>
      <c r="P4">
        <v>9.6999999999999993</v>
      </c>
      <c r="Q4">
        <v>3.2000000000000002E-3</v>
      </c>
      <c r="R4">
        <v>1.9E-3</v>
      </c>
      <c r="S4">
        <v>1.5E-3</v>
      </c>
      <c r="T4">
        <v>6.6E-3</v>
      </c>
      <c r="U4">
        <v>0.11899999999999999</v>
      </c>
      <c r="V4">
        <v>0.62</v>
      </c>
      <c r="W4">
        <v>0.48</v>
      </c>
      <c r="X4">
        <v>0.48</v>
      </c>
      <c r="Y4">
        <v>196</v>
      </c>
      <c r="Z4">
        <v>52</v>
      </c>
    </row>
    <row r="5" spans="1:26">
      <c r="A5">
        <v>9</v>
      </c>
      <c r="B5" t="s">
        <v>531</v>
      </c>
      <c r="C5" t="s">
        <v>532</v>
      </c>
      <c r="D5" s="1">
        <v>34979</v>
      </c>
      <c r="E5">
        <v>-48</v>
      </c>
      <c r="F5">
        <v>73.583333333333329</v>
      </c>
      <c r="G5">
        <v>15</v>
      </c>
      <c r="H5">
        <v>3.1E-2</v>
      </c>
      <c r="I5">
        <v>2.1999999999999999E-2</v>
      </c>
      <c r="J5">
        <v>0.10299999999999999</v>
      </c>
      <c r="K5">
        <v>26.7</v>
      </c>
      <c r="L5">
        <v>0.14000000000000001</v>
      </c>
      <c r="M5">
        <v>0.12</v>
      </c>
      <c r="N5">
        <v>5.66</v>
      </c>
      <c r="O5">
        <v>0.87</v>
      </c>
      <c r="P5">
        <v>6.5</v>
      </c>
      <c r="Q5">
        <v>5.4999999999999997E-3</v>
      </c>
      <c r="R5">
        <v>1.6000000000000001E-3</v>
      </c>
      <c r="S5">
        <v>1.1000000000000001E-3</v>
      </c>
      <c r="T5">
        <v>8.3000000000000001E-3</v>
      </c>
      <c r="U5">
        <v>0.155</v>
      </c>
      <c r="V5">
        <v>0.77</v>
      </c>
      <c r="W5">
        <v>0.66</v>
      </c>
      <c r="X5">
        <v>0.67</v>
      </c>
      <c r="Y5">
        <v>38</v>
      </c>
      <c r="Z5">
        <v>31</v>
      </c>
    </row>
    <row r="8" spans="1:26">
      <c r="H8" s="10"/>
      <c r="I8" s="8"/>
      <c r="J8" s="7"/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E1F5-4766-B04B-8649-F6A9F6BCCFCC}">
  <dimension ref="A1:S26"/>
  <sheetViews>
    <sheetView workbookViewId="0">
      <selection activeCell="B2" sqref="B2"/>
    </sheetView>
  </sheetViews>
  <sheetFormatPr baseColWidth="10" defaultRowHeight="20"/>
  <sheetData>
    <row r="1" spans="1:19">
      <c r="A1" t="s">
        <v>54</v>
      </c>
      <c r="B1" t="s">
        <v>419</v>
      </c>
      <c r="C1" t="s">
        <v>4</v>
      </c>
      <c r="D1" t="s">
        <v>5</v>
      </c>
      <c r="E1" t="s">
        <v>444</v>
      </c>
      <c r="F1" t="s">
        <v>383</v>
      </c>
      <c r="G1" s="10" t="s">
        <v>53</v>
      </c>
      <c r="H1" s="8" t="s">
        <v>52</v>
      </c>
      <c r="I1" s="7" t="s">
        <v>421</v>
      </c>
      <c r="J1" t="s">
        <v>443</v>
      </c>
      <c r="K1" t="s">
        <v>442</v>
      </c>
      <c r="L1" t="s">
        <v>441</v>
      </c>
    </row>
    <row r="2" spans="1:19">
      <c r="A2" t="s">
        <v>436</v>
      </c>
      <c r="B2" s="1">
        <v>34029</v>
      </c>
      <c r="C2" s="37">
        <f>48 + 39/60</f>
        <v>48.65</v>
      </c>
      <c r="D2" s="37">
        <f>-(126 +40/60)</f>
        <v>-126.66666666666667</v>
      </c>
      <c r="E2">
        <v>80</v>
      </c>
      <c r="F2">
        <f>E2/2</f>
        <v>40</v>
      </c>
      <c r="G2">
        <f>J2/$E2/24</f>
        <v>2.390625E-3</v>
      </c>
      <c r="H2">
        <f t="shared" ref="H2:I2" si="0">K2/$E2/24</f>
        <v>6.7708333333333336E-4</v>
      </c>
      <c r="I2">
        <f t="shared" si="0"/>
        <v>3.4895833333333334E-4</v>
      </c>
      <c r="J2">
        <v>4.59</v>
      </c>
      <c r="K2">
        <v>1.3</v>
      </c>
      <c r="L2">
        <v>0.67</v>
      </c>
    </row>
    <row r="3" spans="1:19">
      <c r="A3" t="s">
        <v>437</v>
      </c>
      <c r="B3" s="1">
        <v>34029</v>
      </c>
      <c r="C3" s="37">
        <v>48.97</v>
      </c>
      <c r="D3" s="37">
        <v>-130.66666666666666</v>
      </c>
      <c r="E3">
        <v>70</v>
      </c>
      <c r="F3">
        <f t="shared" ref="F3:F25" si="1">E3/2</f>
        <v>35</v>
      </c>
      <c r="G3">
        <f t="shared" ref="G3:G25" si="2">J3/$E3/24</f>
        <v>9.583333333333335E-4</v>
      </c>
      <c r="H3">
        <f t="shared" ref="H3:H25" si="3">K3/$E3/24</f>
        <v>4.5833333333333338E-4</v>
      </c>
      <c r="I3">
        <f t="shared" ref="I3:I25" si="4">L3/$E3/24</f>
        <v>4.345238095238095E-4</v>
      </c>
      <c r="J3">
        <v>1.61</v>
      </c>
      <c r="K3">
        <v>0.77</v>
      </c>
      <c r="L3">
        <v>0.73</v>
      </c>
      <c r="Q3" s="1"/>
    </row>
    <row r="4" spans="1:19">
      <c r="A4" t="s">
        <v>438</v>
      </c>
      <c r="B4" s="1">
        <v>34029</v>
      </c>
      <c r="C4" s="37">
        <f>49+58.2/60</f>
        <v>49.97</v>
      </c>
      <c r="D4" s="37">
        <f>(134+40/60)*-1</f>
        <v>-134.66666666666666</v>
      </c>
      <c r="E4">
        <v>70</v>
      </c>
      <c r="F4">
        <f t="shared" si="1"/>
        <v>35</v>
      </c>
      <c r="G4">
        <f t="shared" si="2"/>
        <v>9.1071428571428564E-4</v>
      </c>
      <c r="H4">
        <f t="shared" si="3"/>
        <v>1.0357142857142856E-3</v>
      </c>
      <c r="I4">
        <f t="shared" si="4"/>
        <v>3.2142857142857147E-4</v>
      </c>
      <c r="J4">
        <v>1.53</v>
      </c>
      <c r="K4">
        <v>1.74</v>
      </c>
      <c r="L4">
        <v>0.54</v>
      </c>
      <c r="Q4" s="1"/>
    </row>
    <row r="5" spans="1:19">
      <c r="A5" t="s">
        <v>439</v>
      </c>
      <c r="B5" s="1">
        <v>34029</v>
      </c>
      <c r="C5" s="37">
        <f>49+17/60</f>
        <v>49.283333333333331</v>
      </c>
      <c r="D5" s="37">
        <f>-(138+40/60)</f>
        <v>-138.66666666666666</v>
      </c>
      <c r="E5">
        <v>70</v>
      </c>
      <c r="F5">
        <f t="shared" si="1"/>
        <v>35</v>
      </c>
      <c r="G5">
        <f t="shared" si="2"/>
        <v>2.1190476190476189E-3</v>
      </c>
      <c r="H5">
        <f t="shared" si="3"/>
        <v>2.4404761904761902E-4</v>
      </c>
      <c r="I5">
        <f t="shared" si="4"/>
        <v>6.19047619047619E-4</v>
      </c>
      <c r="J5">
        <v>3.56</v>
      </c>
      <c r="K5">
        <v>0.41</v>
      </c>
      <c r="L5">
        <v>1.04</v>
      </c>
      <c r="Q5" s="1"/>
    </row>
    <row r="6" spans="1:19">
      <c r="A6" t="s">
        <v>440</v>
      </c>
      <c r="B6" s="1">
        <v>34029</v>
      </c>
      <c r="C6">
        <v>50</v>
      </c>
      <c r="D6">
        <v>-145</v>
      </c>
      <c r="E6">
        <v>80</v>
      </c>
      <c r="F6">
        <f t="shared" si="1"/>
        <v>40</v>
      </c>
      <c r="G6">
        <f t="shared" si="2"/>
        <v>1.234375E-3</v>
      </c>
      <c r="H6">
        <f t="shared" si="3"/>
        <v>1.7708333333333335E-4</v>
      </c>
      <c r="I6">
        <f t="shared" si="4"/>
        <v>5.5208333333333335E-4</v>
      </c>
      <c r="J6">
        <v>2.37</v>
      </c>
      <c r="K6">
        <v>0.34</v>
      </c>
      <c r="L6">
        <v>1.06</v>
      </c>
      <c r="Q6" s="1"/>
    </row>
    <row r="7" spans="1:19">
      <c r="A7" t="s">
        <v>436</v>
      </c>
      <c r="B7" s="1">
        <v>34366</v>
      </c>
      <c r="C7" s="37">
        <f>48 + 39/60</f>
        <v>48.65</v>
      </c>
      <c r="D7" s="37">
        <f>-(126 +40/60)</f>
        <v>-126.66666666666667</v>
      </c>
      <c r="E7">
        <v>75</v>
      </c>
      <c r="F7">
        <f t="shared" si="1"/>
        <v>37.5</v>
      </c>
      <c r="G7">
        <f t="shared" si="2"/>
        <v>1.3611111111111113E-3</v>
      </c>
      <c r="H7">
        <f t="shared" si="3"/>
        <v>1.7222222222222224E-4</v>
      </c>
      <c r="I7">
        <f t="shared" si="4"/>
        <v>5.1666666666666668E-4</v>
      </c>
      <c r="J7">
        <v>2.4500000000000002</v>
      </c>
      <c r="K7">
        <v>0.31</v>
      </c>
      <c r="L7">
        <v>0.93</v>
      </c>
      <c r="Q7" s="1"/>
    </row>
    <row r="8" spans="1:19">
      <c r="A8" t="s">
        <v>437</v>
      </c>
      <c r="B8" s="1">
        <v>34366</v>
      </c>
      <c r="C8" s="37">
        <v>48.97</v>
      </c>
      <c r="D8" s="37">
        <v>-130.66666666666666</v>
      </c>
      <c r="E8">
        <v>75</v>
      </c>
      <c r="F8">
        <f t="shared" si="1"/>
        <v>37.5</v>
      </c>
      <c r="G8">
        <f t="shared" si="2"/>
        <v>1.2611111111111111E-3</v>
      </c>
      <c r="H8">
        <f t="shared" si="3"/>
        <v>5.7777777777777786E-4</v>
      </c>
      <c r="I8">
        <f t="shared" si="4"/>
        <v>4.3888888888888889E-4</v>
      </c>
      <c r="J8">
        <v>2.27</v>
      </c>
      <c r="K8">
        <v>1.04</v>
      </c>
      <c r="L8">
        <v>0.79</v>
      </c>
      <c r="Q8" s="1"/>
      <c r="R8" s="37"/>
      <c r="S8" s="37"/>
    </row>
    <row r="9" spans="1:19">
      <c r="A9" t="s">
        <v>438</v>
      </c>
      <c r="B9" s="1">
        <v>34366</v>
      </c>
      <c r="C9" s="37">
        <f>49+58.2/60</f>
        <v>49.97</v>
      </c>
      <c r="D9" s="37">
        <f>(134+40/60)*-1</f>
        <v>-134.66666666666666</v>
      </c>
      <c r="E9">
        <v>75</v>
      </c>
      <c r="F9">
        <f t="shared" si="1"/>
        <v>37.5</v>
      </c>
      <c r="G9">
        <f t="shared" si="2"/>
        <v>1.2666666666666666E-3</v>
      </c>
      <c r="H9">
        <f t="shared" si="3"/>
        <v>8.4444444444444443E-4</v>
      </c>
      <c r="I9">
        <f t="shared" si="4"/>
        <v>5.6111111111111108E-4</v>
      </c>
      <c r="J9">
        <v>2.2799999999999998</v>
      </c>
      <c r="K9">
        <v>1.52</v>
      </c>
      <c r="L9">
        <v>1.01</v>
      </c>
      <c r="Q9" s="1"/>
      <c r="R9" s="37"/>
      <c r="S9" s="37"/>
    </row>
    <row r="10" spans="1:19">
      <c r="A10" t="s">
        <v>440</v>
      </c>
      <c r="B10" s="1">
        <v>34366</v>
      </c>
      <c r="C10">
        <v>50</v>
      </c>
      <c r="D10">
        <v>-145</v>
      </c>
      <c r="E10">
        <v>75</v>
      </c>
      <c r="F10">
        <f t="shared" si="1"/>
        <v>37.5</v>
      </c>
      <c r="G10">
        <f t="shared" si="2"/>
        <v>2.2666666666666668E-3</v>
      </c>
      <c r="H10">
        <f t="shared" si="3"/>
        <v>8.7222222222222226E-4</v>
      </c>
      <c r="I10">
        <f t="shared" si="4"/>
        <v>1.3833333333333334E-3</v>
      </c>
      <c r="J10">
        <v>4.08</v>
      </c>
      <c r="K10">
        <v>1.57</v>
      </c>
      <c r="L10">
        <v>2.4900000000000002</v>
      </c>
      <c r="Q10" s="1"/>
      <c r="R10" s="37"/>
      <c r="S10" s="37"/>
    </row>
    <row r="11" spans="1:19">
      <c r="A11" t="s">
        <v>436</v>
      </c>
      <c r="B11" s="1">
        <v>34090</v>
      </c>
      <c r="C11" s="37">
        <f>48 + 39/60</f>
        <v>48.65</v>
      </c>
      <c r="D11" s="37">
        <f>-(126 +40/60)</f>
        <v>-126.66666666666667</v>
      </c>
      <c r="E11">
        <v>40</v>
      </c>
      <c r="F11">
        <f t="shared" si="1"/>
        <v>20</v>
      </c>
      <c r="G11">
        <f t="shared" si="2"/>
        <v>6.4374999999999996E-3</v>
      </c>
      <c r="H11">
        <f t="shared" si="3"/>
        <v>3.1562499999999998E-3</v>
      </c>
      <c r="I11">
        <f t="shared" si="4"/>
        <v>1.8958333333333334E-3</v>
      </c>
      <c r="J11">
        <v>6.18</v>
      </c>
      <c r="K11">
        <v>3.03</v>
      </c>
      <c r="L11">
        <v>1.82</v>
      </c>
      <c r="Q11" s="1"/>
      <c r="R11" s="37"/>
      <c r="S11" s="37"/>
    </row>
    <row r="12" spans="1:19">
      <c r="A12" t="s">
        <v>437</v>
      </c>
      <c r="B12" s="1">
        <v>34090</v>
      </c>
      <c r="C12" s="37">
        <v>48.97</v>
      </c>
      <c r="D12" s="37">
        <v>-130.66666666666666</v>
      </c>
      <c r="E12">
        <v>40</v>
      </c>
      <c r="F12">
        <f t="shared" si="1"/>
        <v>20</v>
      </c>
      <c r="G12">
        <f t="shared" si="2"/>
        <v>6.2083333333333331E-3</v>
      </c>
      <c r="H12">
        <f t="shared" si="3"/>
        <v>2.1979166666666666E-3</v>
      </c>
      <c r="I12">
        <f t="shared" si="4"/>
        <v>1.4479166666666666E-3</v>
      </c>
      <c r="J12">
        <v>5.96</v>
      </c>
      <c r="K12">
        <v>2.11</v>
      </c>
      <c r="L12">
        <v>1.39</v>
      </c>
      <c r="Q12" s="1"/>
      <c r="R12" s="37"/>
      <c r="S12" s="37"/>
    </row>
    <row r="13" spans="1:19">
      <c r="A13" t="s">
        <v>438</v>
      </c>
      <c r="B13" s="1">
        <v>34090</v>
      </c>
      <c r="C13" s="37">
        <f>49+58.2/60</f>
        <v>49.97</v>
      </c>
      <c r="D13" s="37">
        <f>(134+40/60)*-1</f>
        <v>-134.66666666666666</v>
      </c>
      <c r="E13">
        <v>50</v>
      </c>
      <c r="F13">
        <f t="shared" si="1"/>
        <v>25</v>
      </c>
      <c r="G13">
        <f t="shared" si="2"/>
        <v>3.3499999999999992E-3</v>
      </c>
      <c r="H13">
        <f t="shared" si="3"/>
        <v>3.8249999999999998E-3</v>
      </c>
      <c r="I13">
        <f t="shared" si="4"/>
        <v>1.1999999999999999E-3</v>
      </c>
      <c r="J13">
        <v>4.0199999999999996</v>
      </c>
      <c r="K13">
        <v>4.59</v>
      </c>
      <c r="L13">
        <v>1.44</v>
      </c>
      <c r="Q13" s="1"/>
      <c r="R13" s="37"/>
      <c r="S13" s="37"/>
    </row>
    <row r="14" spans="1:19">
      <c r="A14" t="s">
        <v>439</v>
      </c>
      <c r="B14" s="1">
        <v>34090</v>
      </c>
      <c r="C14" s="37">
        <f>49+17/60</f>
        <v>49.283333333333331</v>
      </c>
      <c r="D14" s="37">
        <f>-(138+40/60)</f>
        <v>-138.66666666666666</v>
      </c>
      <c r="E14">
        <v>55</v>
      </c>
      <c r="F14">
        <f t="shared" si="1"/>
        <v>27.5</v>
      </c>
      <c r="G14">
        <f t="shared" si="2"/>
        <v>2.5681818181818184E-3</v>
      </c>
      <c r="H14">
        <f t="shared" si="3"/>
        <v>4.8030303030303029E-3</v>
      </c>
      <c r="I14">
        <f t="shared" si="4"/>
        <v>1.2045454545454547E-3</v>
      </c>
      <c r="J14">
        <v>3.39</v>
      </c>
      <c r="K14">
        <v>6.34</v>
      </c>
      <c r="L14">
        <v>1.59</v>
      </c>
      <c r="Q14" s="1"/>
      <c r="R14" s="37"/>
      <c r="S14" s="37"/>
    </row>
    <row r="15" spans="1:19">
      <c r="A15" t="s">
        <v>440</v>
      </c>
      <c r="B15" s="1">
        <v>34090</v>
      </c>
      <c r="C15">
        <v>50</v>
      </c>
      <c r="D15">
        <v>-145</v>
      </c>
      <c r="E15">
        <v>50</v>
      </c>
      <c r="F15">
        <f t="shared" si="1"/>
        <v>25</v>
      </c>
      <c r="G15">
        <f t="shared" si="2"/>
        <v>4.2583333333333336E-3</v>
      </c>
      <c r="H15">
        <f t="shared" si="3"/>
        <v>3.8083333333333337E-3</v>
      </c>
      <c r="I15">
        <f t="shared" si="4"/>
        <v>2.558333333333333E-3</v>
      </c>
      <c r="J15">
        <v>5.1100000000000003</v>
      </c>
      <c r="K15">
        <v>4.57</v>
      </c>
      <c r="L15">
        <v>3.07</v>
      </c>
      <c r="Q15" s="1"/>
      <c r="R15" s="37"/>
      <c r="S15" s="37"/>
    </row>
    <row r="16" spans="1:19">
      <c r="A16" t="s">
        <v>436</v>
      </c>
      <c r="B16" s="1">
        <v>34455</v>
      </c>
      <c r="C16" s="37">
        <f>48 + 39/60</f>
        <v>48.65</v>
      </c>
      <c r="D16" s="37">
        <f>-(126 +40/60)</f>
        <v>-126.66666666666667</v>
      </c>
      <c r="E16">
        <v>45</v>
      </c>
      <c r="F16">
        <f t="shared" si="1"/>
        <v>22.5</v>
      </c>
      <c r="G16">
        <f t="shared" si="2"/>
        <v>1.2287037037037036E-2</v>
      </c>
      <c r="H16">
        <f t="shared" si="3"/>
        <v>8.4907407407407414E-3</v>
      </c>
      <c r="I16">
        <f t="shared" si="4"/>
        <v>1.2037037037037038E-3</v>
      </c>
      <c r="J16">
        <v>13.27</v>
      </c>
      <c r="K16">
        <v>9.17</v>
      </c>
      <c r="L16">
        <v>1.3</v>
      </c>
      <c r="Q16" s="1"/>
      <c r="R16" s="37"/>
      <c r="S16" s="37"/>
    </row>
    <row r="17" spans="1:19">
      <c r="A17" t="s">
        <v>437</v>
      </c>
      <c r="B17" s="1">
        <v>34455</v>
      </c>
      <c r="C17" s="37">
        <v>48.97</v>
      </c>
      <c r="D17" s="37">
        <v>-130.66666666666666</v>
      </c>
      <c r="E17">
        <v>60</v>
      </c>
      <c r="F17">
        <f t="shared" si="1"/>
        <v>30</v>
      </c>
      <c r="G17">
        <f t="shared" si="2"/>
        <v>3.4444444444444444E-3</v>
      </c>
      <c r="H17">
        <f t="shared" si="3"/>
        <v>1.5555555555555557E-3</v>
      </c>
      <c r="I17">
        <f t="shared" si="4"/>
        <v>1.3472222222222221E-3</v>
      </c>
      <c r="J17">
        <v>4.96</v>
      </c>
      <c r="K17">
        <v>2.2400000000000002</v>
      </c>
      <c r="L17">
        <v>1.94</v>
      </c>
      <c r="Q17" s="1"/>
      <c r="R17" s="37"/>
      <c r="S17" s="37"/>
    </row>
    <row r="18" spans="1:19">
      <c r="A18" t="s">
        <v>438</v>
      </c>
      <c r="B18" s="1">
        <v>34455</v>
      </c>
      <c r="C18" s="37">
        <f>49+58.2/60</f>
        <v>49.97</v>
      </c>
      <c r="D18" s="37">
        <f>(134+40/60)*-1</f>
        <v>-134.66666666666666</v>
      </c>
      <c r="E18">
        <v>85</v>
      </c>
      <c r="F18">
        <f t="shared" si="1"/>
        <v>42.5</v>
      </c>
      <c r="G18">
        <f t="shared" si="2"/>
        <v>2.8382352941176471E-3</v>
      </c>
      <c r="H18">
        <f t="shared" si="3"/>
        <v>6.1274509803921568E-4</v>
      </c>
      <c r="I18">
        <f t="shared" si="4"/>
        <v>1.3186274509803921E-3</v>
      </c>
      <c r="J18">
        <v>5.79</v>
      </c>
      <c r="K18">
        <v>1.25</v>
      </c>
      <c r="L18">
        <v>2.69</v>
      </c>
      <c r="Q18" s="1"/>
      <c r="R18" s="37"/>
      <c r="S18" s="37"/>
    </row>
    <row r="19" spans="1:19">
      <c r="A19" t="s">
        <v>439</v>
      </c>
      <c r="B19" s="1">
        <v>34455</v>
      </c>
      <c r="C19" s="37">
        <f>49+17/60</f>
        <v>49.283333333333331</v>
      </c>
      <c r="D19" s="37">
        <f>-(138+40/60)</f>
        <v>-138.66666666666666</v>
      </c>
      <c r="E19">
        <v>70</v>
      </c>
      <c r="F19">
        <f t="shared" si="1"/>
        <v>35</v>
      </c>
      <c r="G19">
        <f t="shared" si="2"/>
        <v>4.44047619047619E-3</v>
      </c>
      <c r="H19">
        <f t="shared" si="3"/>
        <v>5.5952380952380956E-4</v>
      </c>
      <c r="I19">
        <f t="shared" si="4"/>
        <v>2.9464285714285716E-3</v>
      </c>
      <c r="J19">
        <v>7.46</v>
      </c>
      <c r="K19">
        <v>0.94</v>
      </c>
      <c r="L19">
        <v>4.95</v>
      </c>
      <c r="Q19" s="1"/>
      <c r="R19" s="37"/>
      <c r="S19" s="37"/>
    </row>
    <row r="20" spans="1:19">
      <c r="A20" t="s">
        <v>440</v>
      </c>
      <c r="B20" s="1">
        <v>34455</v>
      </c>
      <c r="C20">
        <v>50</v>
      </c>
      <c r="D20">
        <v>-145</v>
      </c>
      <c r="E20">
        <v>60</v>
      </c>
      <c r="F20">
        <f t="shared" si="1"/>
        <v>30</v>
      </c>
      <c r="G20">
        <f t="shared" si="2"/>
        <v>4.0000000000000001E-3</v>
      </c>
      <c r="H20">
        <f t="shared" si="3"/>
        <v>1.4791666666666666E-3</v>
      </c>
      <c r="I20">
        <f t="shared" si="4"/>
        <v>1.5902777777777779E-3</v>
      </c>
      <c r="J20">
        <v>5.76</v>
      </c>
      <c r="K20">
        <v>2.13</v>
      </c>
      <c r="L20">
        <v>2.29</v>
      </c>
      <c r="Q20" s="1"/>
      <c r="R20" s="37"/>
      <c r="S20" s="37"/>
    </row>
    <row r="21" spans="1:19">
      <c r="A21" t="s">
        <v>436</v>
      </c>
      <c r="B21" s="1">
        <v>33848</v>
      </c>
      <c r="C21" s="37">
        <f>48 + 39/60</f>
        <v>48.65</v>
      </c>
      <c r="D21" s="37">
        <f>-(126 +40/60)</f>
        <v>-126.66666666666667</v>
      </c>
      <c r="E21">
        <v>55</v>
      </c>
      <c r="F21">
        <f t="shared" si="1"/>
        <v>27.5</v>
      </c>
      <c r="G21">
        <f t="shared" si="2"/>
        <v>4.5000000000000005E-3</v>
      </c>
      <c r="H21">
        <f t="shared" si="3"/>
        <v>2.1969696969696969E-4</v>
      </c>
      <c r="I21">
        <f t="shared" si="4"/>
        <v>1.8030303030303028E-3</v>
      </c>
      <c r="J21">
        <v>5.94</v>
      </c>
      <c r="K21">
        <v>0.28999999999999998</v>
      </c>
      <c r="L21">
        <v>2.38</v>
      </c>
      <c r="Q21" s="1"/>
      <c r="R21" s="37"/>
      <c r="S21" s="37"/>
    </row>
    <row r="22" spans="1:19">
      <c r="A22" t="s">
        <v>437</v>
      </c>
      <c r="B22" s="1">
        <v>33848</v>
      </c>
      <c r="C22" s="37">
        <v>48.97</v>
      </c>
      <c r="D22" s="37">
        <v>-130.66666666666666</v>
      </c>
      <c r="E22">
        <v>80</v>
      </c>
      <c r="F22">
        <f t="shared" si="1"/>
        <v>40</v>
      </c>
      <c r="G22">
        <f t="shared" si="2"/>
        <v>1.2760416666666669E-3</v>
      </c>
      <c r="H22">
        <f t="shared" si="3"/>
        <v>2.6562500000000002E-4</v>
      </c>
      <c r="I22">
        <f t="shared" si="4"/>
        <v>1.4062500000000002E-4</v>
      </c>
      <c r="J22">
        <v>2.4500000000000002</v>
      </c>
      <c r="K22">
        <v>0.51</v>
      </c>
      <c r="L22">
        <v>0.27</v>
      </c>
      <c r="Q22" s="1"/>
      <c r="R22" s="37"/>
      <c r="S22" s="37"/>
    </row>
    <row r="23" spans="1:19">
      <c r="A23" t="s">
        <v>438</v>
      </c>
      <c r="B23" s="1">
        <v>33848</v>
      </c>
      <c r="C23" s="37">
        <f>49+58.2/60</f>
        <v>49.97</v>
      </c>
      <c r="D23" s="37">
        <f>(134+40/60)*-1</f>
        <v>-134.66666666666666</v>
      </c>
      <c r="E23">
        <v>80</v>
      </c>
      <c r="F23">
        <f t="shared" si="1"/>
        <v>40</v>
      </c>
      <c r="G23">
        <f t="shared" si="2"/>
        <v>3.8020833333333331E-3</v>
      </c>
      <c r="H23">
        <f t="shared" si="3"/>
        <v>1.5520833333333333E-3</v>
      </c>
      <c r="I23">
        <f t="shared" si="4"/>
        <v>4.0104166666666668E-4</v>
      </c>
      <c r="J23">
        <v>7.3</v>
      </c>
      <c r="K23">
        <v>2.98</v>
      </c>
      <c r="L23">
        <v>0.77</v>
      </c>
      <c r="Q23" s="1"/>
      <c r="R23" s="37"/>
      <c r="S23" s="37"/>
    </row>
    <row r="24" spans="1:19">
      <c r="A24" t="s">
        <v>439</v>
      </c>
      <c r="B24" s="1">
        <v>33848</v>
      </c>
      <c r="C24" s="37">
        <f>49+17/60</f>
        <v>49.283333333333331</v>
      </c>
      <c r="D24" s="37">
        <f>-(138+40/60)</f>
        <v>-138.66666666666666</v>
      </c>
      <c r="E24">
        <v>70</v>
      </c>
      <c r="F24">
        <f t="shared" si="1"/>
        <v>35</v>
      </c>
      <c r="G24">
        <f t="shared" si="2"/>
        <v>4.4583333333333332E-3</v>
      </c>
      <c r="H24">
        <f t="shared" si="3"/>
        <v>1.5773809523809523E-3</v>
      </c>
      <c r="I24">
        <f t="shared" si="4"/>
        <v>9.4642857142857148E-4</v>
      </c>
      <c r="J24">
        <v>7.49</v>
      </c>
      <c r="K24">
        <v>2.65</v>
      </c>
      <c r="L24">
        <v>1.59</v>
      </c>
      <c r="Q24" s="1"/>
      <c r="R24" s="37"/>
      <c r="S24" s="37"/>
    </row>
    <row r="25" spans="1:19">
      <c r="A25" t="s">
        <v>440</v>
      </c>
      <c r="B25" s="1">
        <v>33848</v>
      </c>
      <c r="C25">
        <v>50</v>
      </c>
      <c r="D25">
        <v>-145</v>
      </c>
      <c r="E25">
        <v>80</v>
      </c>
      <c r="F25">
        <f t="shared" si="1"/>
        <v>40</v>
      </c>
      <c r="G25">
        <f t="shared" si="2"/>
        <v>3.0468749999999997E-3</v>
      </c>
      <c r="H25">
        <f t="shared" si="3"/>
        <v>2.0208333333333332E-3</v>
      </c>
      <c r="I25">
        <f t="shared" si="4"/>
        <v>1.6614583333333334E-3</v>
      </c>
      <c r="J25">
        <v>5.85</v>
      </c>
      <c r="K25">
        <v>3.88</v>
      </c>
      <c r="L25">
        <v>3.19</v>
      </c>
      <c r="Q25" s="1"/>
      <c r="R25" s="37"/>
      <c r="S25" s="37"/>
    </row>
    <row r="26" spans="1:19">
      <c r="Q26" s="1"/>
      <c r="R26" s="37"/>
      <c r="S26" s="37"/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089F-5550-F74F-9416-163A3518A1A8}">
  <dimension ref="A1:O14"/>
  <sheetViews>
    <sheetView workbookViewId="0">
      <selection activeCell="G1" sqref="G1:I1"/>
    </sheetView>
  </sheetViews>
  <sheetFormatPr baseColWidth="10" defaultRowHeight="20"/>
  <cols>
    <col min="6" max="6" width="11.42578125" bestFit="1" customWidth="1"/>
    <col min="13" max="13" width="32.85546875" bestFit="1" customWidth="1"/>
  </cols>
  <sheetData>
    <row r="1" spans="1:15">
      <c r="A1" t="s">
        <v>54</v>
      </c>
      <c r="C1" t="s">
        <v>419</v>
      </c>
      <c r="D1" t="s">
        <v>4</v>
      </c>
      <c r="E1" t="s">
        <v>5</v>
      </c>
      <c r="F1" t="s">
        <v>444</v>
      </c>
      <c r="G1" s="10" t="s">
        <v>53</v>
      </c>
      <c r="H1" s="8" t="s">
        <v>52</v>
      </c>
      <c r="I1" s="7" t="s">
        <v>421</v>
      </c>
      <c r="K1" t="s">
        <v>280</v>
      </c>
      <c r="L1" t="s">
        <v>281</v>
      </c>
      <c r="M1" t="s">
        <v>279</v>
      </c>
      <c r="N1" t="s">
        <v>282</v>
      </c>
      <c r="O1" t="s">
        <v>283</v>
      </c>
    </row>
    <row r="2" spans="1:15">
      <c r="A2" t="s">
        <v>284</v>
      </c>
      <c r="C2" s="1">
        <v>34655</v>
      </c>
      <c r="D2">
        <v>24.91</v>
      </c>
      <c r="E2">
        <v>45.13</v>
      </c>
      <c r="F2">
        <v>50</v>
      </c>
      <c r="G2">
        <f>K2/$F2/24</f>
        <v>9.8333333333333345E-3</v>
      </c>
      <c r="H2">
        <f>L2/$F2/24</f>
        <v>3.0000000000000005E-3</v>
      </c>
      <c r="I2">
        <f>M2/$F2/24</f>
        <v>4.2499999999999994E-3</v>
      </c>
      <c r="K2">
        <v>11.8</v>
      </c>
      <c r="L2">
        <v>3.6</v>
      </c>
      <c r="M2">
        <v>5.0999999999999996</v>
      </c>
      <c r="N2">
        <v>20.399999999999999</v>
      </c>
      <c r="O2">
        <v>0.25</v>
      </c>
    </row>
    <row r="3" spans="1:15">
      <c r="A3" t="s">
        <v>285</v>
      </c>
      <c r="C3" s="1">
        <v>34657</v>
      </c>
      <c r="D3">
        <v>23.75</v>
      </c>
      <c r="E3">
        <v>49.14</v>
      </c>
      <c r="F3">
        <v>60</v>
      </c>
      <c r="G3">
        <f t="shared" ref="G3:G14" si="0">K3/$F3/24</f>
        <v>2.3611111111111111E-3</v>
      </c>
      <c r="H3">
        <f t="shared" ref="H3:H14" si="1">L3/$F3/24</f>
        <v>4.1666666666666669E-4</v>
      </c>
      <c r="I3">
        <f t="shared" ref="I3:I14" si="2">M3/$F3/24</f>
        <v>2.0833333333333335E-4</v>
      </c>
      <c r="K3">
        <v>3.4</v>
      </c>
      <c r="L3">
        <v>0.6</v>
      </c>
      <c r="M3">
        <v>0.3</v>
      </c>
      <c r="N3">
        <v>4.3</v>
      </c>
      <c r="O3">
        <v>7.0000000000000007E-2</v>
      </c>
    </row>
    <row r="4" spans="1:15">
      <c r="A4" t="s">
        <v>286</v>
      </c>
      <c r="C4" s="1">
        <v>34658</v>
      </c>
      <c r="D4">
        <v>22.4</v>
      </c>
      <c r="E4">
        <v>52.7</v>
      </c>
      <c r="F4">
        <v>60</v>
      </c>
      <c r="G4">
        <f t="shared" si="0"/>
        <v>1.8055555555555557E-3</v>
      </c>
      <c r="H4">
        <f t="shared" si="1"/>
        <v>3.4722222222222224E-4</v>
      </c>
      <c r="I4">
        <f t="shared" si="2"/>
        <v>1.4583333333333334E-3</v>
      </c>
      <c r="K4">
        <v>2.6</v>
      </c>
      <c r="L4">
        <v>0.5</v>
      </c>
      <c r="M4">
        <v>2.1</v>
      </c>
      <c r="N4">
        <v>5.0999999999999996</v>
      </c>
      <c r="O4">
        <v>0.41</v>
      </c>
    </row>
    <row r="5" spans="1:15">
      <c r="A5" t="s">
        <v>287</v>
      </c>
      <c r="C5" s="1">
        <v>34660</v>
      </c>
      <c r="D5">
        <v>19.04</v>
      </c>
      <c r="E5">
        <v>50.25</v>
      </c>
      <c r="F5">
        <v>45</v>
      </c>
      <c r="G5">
        <f t="shared" si="0"/>
        <v>9.2592592592592588E-5</v>
      </c>
      <c r="H5">
        <f t="shared" si="1"/>
        <v>1.6666666666666668E-3</v>
      </c>
      <c r="I5">
        <f t="shared" si="2"/>
        <v>8.3333333333333339E-4</v>
      </c>
      <c r="K5">
        <v>0.1</v>
      </c>
      <c r="L5">
        <v>1.8</v>
      </c>
      <c r="M5">
        <v>0.9</v>
      </c>
      <c r="N5">
        <v>2.9</v>
      </c>
      <c r="O5">
        <v>0.33</v>
      </c>
    </row>
    <row r="6" spans="1:15">
      <c r="A6" t="s">
        <v>288</v>
      </c>
      <c r="C6" s="1">
        <v>34662</v>
      </c>
      <c r="D6">
        <v>18.77</v>
      </c>
      <c r="E6">
        <v>50.36</v>
      </c>
      <c r="F6">
        <v>45</v>
      </c>
      <c r="G6">
        <f t="shared" si="0"/>
        <v>9.2592592592592588E-5</v>
      </c>
      <c r="H6">
        <f t="shared" si="1"/>
        <v>6.4814814814814813E-4</v>
      </c>
      <c r="I6">
        <f t="shared" si="2"/>
        <v>2.7777777777777778E-4</v>
      </c>
      <c r="K6">
        <v>0.1</v>
      </c>
      <c r="L6">
        <v>0.7</v>
      </c>
      <c r="M6">
        <v>0.3</v>
      </c>
      <c r="N6">
        <v>1.1000000000000001</v>
      </c>
      <c r="O6">
        <v>0.28000000000000003</v>
      </c>
    </row>
    <row r="7" spans="1:15">
      <c r="A7" t="s">
        <v>289</v>
      </c>
      <c r="C7" s="1">
        <v>34665</v>
      </c>
      <c r="D7">
        <v>19.53</v>
      </c>
      <c r="E7">
        <v>48.69</v>
      </c>
      <c r="F7">
        <v>45</v>
      </c>
      <c r="G7">
        <f t="shared" si="0"/>
        <v>9.2592592592592588E-5</v>
      </c>
      <c r="H7">
        <f t="shared" si="1"/>
        <v>6.4814814814814813E-4</v>
      </c>
      <c r="I7">
        <f t="shared" si="2"/>
        <v>8.3333333333333339E-4</v>
      </c>
      <c r="K7">
        <v>0.1</v>
      </c>
      <c r="L7">
        <v>0.7</v>
      </c>
      <c r="M7">
        <v>0.9</v>
      </c>
      <c r="N7">
        <v>1.7</v>
      </c>
      <c r="O7">
        <v>0.52</v>
      </c>
    </row>
    <row r="8" spans="1:15">
      <c r="A8" t="s">
        <v>290</v>
      </c>
      <c r="C8" s="1">
        <v>34666</v>
      </c>
      <c r="D8">
        <v>19.579999999999998</v>
      </c>
      <c r="E8">
        <v>49.03</v>
      </c>
      <c r="F8">
        <v>30</v>
      </c>
      <c r="G8">
        <f t="shared" si="0"/>
        <v>4.8611111111111112E-3</v>
      </c>
      <c r="H8">
        <f t="shared" si="1"/>
        <v>2.0833333333333333E-3</v>
      </c>
      <c r="I8">
        <f t="shared" si="2"/>
        <v>3.472222222222222E-3</v>
      </c>
      <c r="K8">
        <v>3.5</v>
      </c>
      <c r="L8">
        <v>1.5</v>
      </c>
      <c r="M8">
        <v>2.5</v>
      </c>
      <c r="N8">
        <v>7.5</v>
      </c>
      <c r="O8">
        <v>0.33</v>
      </c>
    </row>
    <row r="9" spans="1:15">
      <c r="A9" t="s">
        <v>291</v>
      </c>
      <c r="C9" s="1">
        <v>34667</v>
      </c>
      <c r="D9">
        <v>17.11</v>
      </c>
      <c r="E9">
        <v>52.14</v>
      </c>
      <c r="F9">
        <v>50</v>
      </c>
      <c r="G9">
        <f t="shared" si="0"/>
        <v>1.25E-3</v>
      </c>
      <c r="H9">
        <f t="shared" si="1"/>
        <v>0</v>
      </c>
      <c r="I9">
        <f t="shared" si="2"/>
        <v>2.5000000000000001E-4</v>
      </c>
      <c r="K9">
        <v>1.5</v>
      </c>
      <c r="L9">
        <v>0</v>
      </c>
      <c r="M9">
        <v>0.3</v>
      </c>
      <c r="N9">
        <v>1.9</v>
      </c>
      <c r="O9">
        <v>0.17</v>
      </c>
    </row>
    <row r="10" spans="1:15">
      <c r="A10" t="s">
        <v>292</v>
      </c>
      <c r="C10" s="1">
        <v>34669</v>
      </c>
      <c r="D10">
        <v>15.37</v>
      </c>
      <c r="E10">
        <v>54.93</v>
      </c>
      <c r="F10">
        <v>80</v>
      </c>
      <c r="G10">
        <f t="shared" si="0"/>
        <v>1.5104166666666666E-3</v>
      </c>
      <c r="H10">
        <f t="shared" si="1"/>
        <v>7.2916666666666659E-4</v>
      </c>
      <c r="I10">
        <f t="shared" si="2"/>
        <v>6.7708333333333336E-4</v>
      </c>
      <c r="K10">
        <v>2.9</v>
      </c>
      <c r="L10">
        <v>1.4</v>
      </c>
      <c r="M10">
        <v>1.3</v>
      </c>
      <c r="N10">
        <v>5.6</v>
      </c>
      <c r="O10">
        <v>0.24</v>
      </c>
    </row>
    <row r="11" spans="1:15">
      <c r="A11" t="s">
        <v>293</v>
      </c>
      <c r="C11" s="1">
        <v>34672</v>
      </c>
      <c r="D11">
        <v>15.68</v>
      </c>
      <c r="E11">
        <v>54.93</v>
      </c>
      <c r="F11">
        <v>80</v>
      </c>
      <c r="G11">
        <f t="shared" si="0"/>
        <v>2.0312500000000001E-3</v>
      </c>
      <c r="H11">
        <f t="shared" si="1"/>
        <v>1.6145833333333333E-3</v>
      </c>
      <c r="I11">
        <f t="shared" si="2"/>
        <v>9.3749999999999997E-4</v>
      </c>
      <c r="K11">
        <v>3.9</v>
      </c>
      <c r="L11">
        <v>3.1</v>
      </c>
      <c r="M11">
        <v>1.8</v>
      </c>
      <c r="N11">
        <v>8.8000000000000007</v>
      </c>
      <c r="O11">
        <v>0.2</v>
      </c>
    </row>
    <row r="12" spans="1:15">
      <c r="A12" t="s">
        <v>294</v>
      </c>
      <c r="C12" s="1">
        <v>34676</v>
      </c>
      <c r="D12">
        <v>11.2</v>
      </c>
      <c r="E12">
        <v>61.5</v>
      </c>
      <c r="F12">
        <v>80</v>
      </c>
      <c r="G12">
        <f t="shared" si="0"/>
        <v>5.8854166666666673E-3</v>
      </c>
      <c r="H12">
        <f t="shared" si="1"/>
        <v>1.3541666666666667E-3</v>
      </c>
      <c r="I12">
        <f t="shared" si="2"/>
        <v>2.2395833333333334E-3</v>
      </c>
      <c r="K12">
        <v>11.3</v>
      </c>
      <c r="L12">
        <v>2.6</v>
      </c>
      <c r="M12">
        <v>4.3</v>
      </c>
      <c r="N12">
        <v>18.2</v>
      </c>
      <c r="O12">
        <v>0.23</v>
      </c>
    </row>
    <row r="13" spans="1:15">
      <c r="A13" t="s">
        <v>295</v>
      </c>
      <c r="C13" s="1">
        <v>34678</v>
      </c>
      <c r="D13">
        <v>7.84</v>
      </c>
      <c r="E13">
        <v>66.41</v>
      </c>
      <c r="F13">
        <v>80</v>
      </c>
      <c r="G13">
        <f t="shared" si="0"/>
        <v>1.5104166666666666E-3</v>
      </c>
      <c r="H13">
        <f t="shared" si="1"/>
        <v>1.3020833333333333E-3</v>
      </c>
      <c r="I13">
        <f t="shared" si="2"/>
        <v>7.2916666666666659E-4</v>
      </c>
      <c r="K13">
        <v>2.9</v>
      </c>
      <c r="L13">
        <v>2.5</v>
      </c>
      <c r="M13">
        <v>1.4</v>
      </c>
      <c r="N13">
        <v>6.8</v>
      </c>
      <c r="O13">
        <v>0.21</v>
      </c>
    </row>
    <row r="14" spans="1:15">
      <c r="A14" t="s">
        <v>296</v>
      </c>
      <c r="C14" s="1">
        <v>34683</v>
      </c>
      <c r="D14">
        <v>14.38</v>
      </c>
      <c r="E14">
        <v>70.08</v>
      </c>
      <c r="F14">
        <v>100</v>
      </c>
      <c r="G14">
        <f t="shared" si="0"/>
        <v>3.4583333333333337E-3</v>
      </c>
      <c r="H14">
        <f t="shared" si="1"/>
        <v>2.2916666666666667E-3</v>
      </c>
      <c r="I14">
        <f t="shared" si="2"/>
        <v>4.0833333333333338E-3</v>
      </c>
      <c r="K14">
        <v>8.3000000000000007</v>
      </c>
      <c r="L14">
        <v>5.5</v>
      </c>
      <c r="M14">
        <v>9.8000000000000007</v>
      </c>
      <c r="N14">
        <v>23.6</v>
      </c>
      <c r="O14">
        <v>0.41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990D-0CF9-4F4A-BEE4-356CD1CB65D5}">
  <dimension ref="A1:U7"/>
  <sheetViews>
    <sheetView workbookViewId="0">
      <selection activeCell="Q2" sqref="Q2:X5"/>
    </sheetView>
  </sheetViews>
  <sheetFormatPr baseColWidth="10" defaultRowHeight="20"/>
  <sheetData>
    <row r="1" spans="1:21">
      <c r="A1" s="19" t="s">
        <v>6</v>
      </c>
      <c r="B1" s="19" t="s">
        <v>419</v>
      </c>
      <c r="C1" s="19" t="s">
        <v>4</v>
      </c>
      <c r="D1" s="19" t="s">
        <v>5</v>
      </c>
      <c r="E1" s="19" t="s">
        <v>383</v>
      </c>
      <c r="F1" s="10" t="s">
        <v>53</v>
      </c>
      <c r="G1" s="8" t="s">
        <v>52</v>
      </c>
      <c r="H1" s="7" t="s">
        <v>421</v>
      </c>
      <c r="I1" s="19" t="s">
        <v>323</v>
      </c>
      <c r="J1" s="19" t="s">
        <v>324</v>
      </c>
      <c r="K1" s="19" t="s">
        <v>322</v>
      </c>
      <c r="L1" s="19" t="s">
        <v>325</v>
      </c>
      <c r="M1" s="19" t="s">
        <v>326</v>
      </c>
    </row>
    <row r="2" spans="1:21">
      <c r="A2" s="21">
        <v>45883</v>
      </c>
      <c r="B2" s="36">
        <v>36021</v>
      </c>
      <c r="C2" s="20">
        <v>41.94383333333333</v>
      </c>
      <c r="D2" s="20">
        <v>-9.8338333333333328</v>
      </c>
      <c r="E2" s="20">
        <v>20</v>
      </c>
      <c r="F2" s="20">
        <f>I2/$E2/24</f>
        <v>1.0416666666666667E-3</v>
      </c>
      <c r="G2" s="20">
        <f t="shared" ref="G2:H2" si="0">J2/$E2/24</f>
        <v>7.9166666666666673E-3</v>
      </c>
      <c r="H2" s="20">
        <f t="shared" si="0"/>
        <v>8.3333333333333339E-4</v>
      </c>
      <c r="I2" s="20">
        <v>0.5</v>
      </c>
      <c r="J2" s="20">
        <v>3.8</v>
      </c>
      <c r="K2" s="20">
        <v>0.4</v>
      </c>
      <c r="L2" s="20">
        <v>0.45</v>
      </c>
      <c r="M2" s="20">
        <v>0.09</v>
      </c>
      <c r="Q2" s="38"/>
      <c r="U2" s="38"/>
    </row>
    <row r="3" spans="1:21">
      <c r="A3" s="21">
        <v>45884</v>
      </c>
      <c r="B3" s="36">
        <v>36022</v>
      </c>
      <c r="C3" s="20">
        <v>41.901000000000003</v>
      </c>
      <c r="D3" s="20">
        <v>-9.8908333333333331</v>
      </c>
      <c r="E3" s="20">
        <v>20</v>
      </c>
      <c r="F3" s="20">
        <f t="shared" ref="F3:F5" si="1">I3/$E3/24</f>
        <v>2.2916666666666671E-3</v>
      </c>
      <c r="G3" s="20">
        <f t="shared" ref="G3:G5" si="2">J3/$E3/24</f>
        <v>1.2499999999999999E-2</v>
      </c>
      <c r="H3" s="20">
        <f t="shared" ref="H3:H5" si="3">K3/$E3/24</f>
        <v>1.6666666666666668E-3</v>
      </c>
      <c r="I3" s="20">
        <v>1.1000000000000001</v>
      </c>
      <c r="J3" s="20">
        <v>6</v>
      </c>
      <c r="K3" s="20">
        <v>0.8</v>
      </c>
      <c r="L3" s="20">
        <v>0.42</v>
      </c>
      <c r="M3" s="20">
        <v>0.1</v>
      </c>
      <c r="Q3" s="38"/>
      <c r="U3" s="38"/>
    </row>
    <row r="4" spans="1:21">
      <c r="A4" s="21">
        <v>45885</v>
      </c>
      <c r="B4" s="36">
        <v>36023</v>
      </c>
      <c r="C4" s="20">
        <v>41.871000000000002</v>
      </c>
      <c r="D4" s="20">
        <v>-9.9721666666666664</v>
      </c>
      <c r="E4" s="20">
        <v>20</v>
      </c>
      <c r="F4" s="20">
        <f t="shared" si="1"/>
        <v>1.25E-3</v>
      </c>
      <c r="G4" s="20">
        <f t="shared" si="2"/>
        <v>1.5833333333333335E-2</v>
      </c>
      <c r="H4" s="20">
        <f t="shared" si="3"/>
        <v>1.0416666666666667E-3</v>
      </c>
      <c r="I4" s="20">
        <v>0.6</v>
      </c>
      <c r="J4" s="20">
        <v>7.6</v>
      </c>
      <c r="K4" s="20">
        <v>0.5</v>
      </c>
      <c r="L4" s="20">
        <v>0.46</v>
      </c>
      <c r="M4" s="20">
        <v>0.05</v>
      </c>
      <c r="Q4" s="38"/>
      <c r="U4" s="38"/>
    </row>
    <row r="5" spans="1:21">
      <c r="A5" s="21">
        <v>45886</v>
      </c>
      <c r="B5" s="36">
        <v>36024</v>
      </c>
      <c r="C5" s="20">
        <v>41.875</v>
      </c>
      <c r="D5" s="20">
        <v>-9.9981666666666662</v>
      </c>
      <c r="E5" s="20">
        <v>20</v>
      </c>
      <c r="F5" s="20">
        <f t="shared" si="1"/>
        <v>8.3333333333333339E-4</v>
      </c>
      <c r="G5" s="20">
        <f t="shared" si="2"/>
        <v>1.3958333333333335E-2</v>
      </c>
      <c r="H5" s="20">
        <f t="shared" si="3"/>
        <v>6.2500000000000001E-4</v>
      </c>
      <c r="I5" s="20">
        <v>0.4</v>
      </c>
      <c r="J5" s="20">
        <v>6.7</v>
      </c>
      <c r="K5" s="20">
        <v>0.3</v>
      </c>
      <c r="L5" s="20">
        <v>0.44</v>
      </c>
      <c r="M5" s="20">
        <v>0.04</v>
      </c>
      <c r="Q5" s="38"/>
      <c r="U5" s="38"/>
    </row>
    <row r="7" spans="1:21">
      <c r="A7" t="s">
        <v>327</v>
      </c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DD1F-9D27-6B42-9908-F1458899B5C1}">
  <dimension ref="A1:E5"/>
  <sheetViews>
    <sheetView workbookViewId="0">
      <selection sqref="A1:E5"/>
    </sheetView>
  </sheetViews>
  <sheetFormatPr baseColWidth="10" defaultRowHeight="20"/>
  <sheetData>
    <row r="1" spans="1:5">
      <c r="A1" t="s">
        <v>297</v>
      </c>
      <c r="B1" t="s">
        <v>298</v>
      </c>
      <c r="C1" t="s">
        <v>299</v>
      </c>
      <c r="D1" t="s">
        <v>300</v>
      </c>
      <c r="E1" t="s">
        <v>301</v>
      </c>
    </row>
    <row r="2" spans="1:5">
      <c r="A2" t="s">
        <v>302</v>
      </c>
      <c r="B2" t="s">
        <v>303</v>
      </c>
      <c r="C2" t="s">
        <v>304</v>
      </c>
      <c r="D2" t="s">
        <v>305</v>
      </c>
      <c r="E2" t="s">
        <v>305</v>
      </c>
    </row>
    <row r="3" spans="1:5">
      <c r="A3" t="s">
        <v>306</v>
      </c>
      <c r="B3" t="s">
        <v>307</v>
      </c>
      <c r="C3" t="s">
        <v>308</v>
      </c>
      <c r="D3" t="s">
        <v>309</v>
      </c>
      <c r="E3" t="s">
        <v>305</v>
      </c>
    </row>
    <row r="4" spans="1:5">
      <c r="A4" t="s">
        <v>310</v>
      </c>
      <c r="B4" t="s">
        <v>311</v>
      </c>
      <c r="C4" t="s">
        <v>312</v>
      </c>
      <c r="D4" t="s">
        <v>313</v>
      </c>
      <c r="E4" t="s">
        <v>305</v>
      </c>
    </row>
    <row r="5" spans="1:5">
      <c r="A5" t="s">
        <v>314</v>
      </c>
      <c r="B5" t="s">
        <v>315</v>
      </c>
      <c r="C5" t="s">
        <v>316</v>
      </c>
      <c r="D5" t="s">
        <v>317</v>
      </c>
      <c r="E5" t="s">
        <v>318</v>
      </c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222C-C7C6-F243-8143-874194EBF9FD}">
  <dimension ref="A1:J8"/>
  <sheetViews>
    <sheetView workbookViewId="0">
      <selection activeCell="E1" sqref="E1:G1"/>
    </sheetView>
  </sheetViews>
  <sheetFormatPr baseColWidth="10" defaultColWidth="21.7109375" defaultRowHeight="20"/>
  <sheetData>
    <row r="1" spans="1:10">
      <c r="A1" t="s">
        <v>419</v>
      </c>
      <c r="B1" t="s">
        <v>5</v>
      </c>
      <c r="C1" t="s">
        <v>4</v>
      </c>
      <c r="D1" t="s">
        <v>383</v>
      </c>
      <c r="E1" s="10" t="s">
        <v>53</v>
      </c>
      <c r="F1" s="8" t="s">
        <v>52</v>
      </c>
      <c r="G1" s="7" t="s">
        <v>421</v>
      </c>
      <c r="H1" t="s">
        <v>377</v>
      </c>
      <c r="I1" t="s">
        <v>378</v>
      </c>
      <c r="J1" t="s">
        <v>379</v>
      </c>
    </row>
    <row r="2" spans="1:10">
      <c r="A2" s="1">
        <v>37210</v>
      </c>
      <c r="B2">
        <v>144.16943521594601</v>
      </c>
      <c r="C2">
        <v>-48.784741144414099</v>
      </c>
      <c r="D2">
        <v>35</v>
      </c>
      <c r="E2">
        <f>H2/70/24</f>
        <v>1.3613861386138572E-3</v>
      </c>
      <c r="F2">
        <f t="shared" ref="F2:G2" si="0">I2/70/24</f>
        <v>3.712871287128708E-4</v>
      </c>
      <c r="G2">
        <f t="shared" si="0"/>
        <v>8.663366336633632E-4</v>
      </c>
      <c r="H2">
        <v>2.2871287128712798</v>
      </c>
      <c r="I2">
        <v>0.62376237623762298</v>
      </c>
      <c r="J2">
        <v>1.4554455445544501</v>
      </c>
    </row>
    <row r="3" spans="1:10">
      <c r="A3" s="1">
        <v>37210</v>
      </c>
      <c r="B3">
        <v>143.023255813953</v>
      </c>
      <c r="C3">
        <v>-51.040871934604901</v>
      </c>
      <c r="D3">
        <v>35</v>
      </c>
      <c r="E3">
        <f t="shared" ref="E3:E8" si="1">H3/70/24</f>
        <v>1.4438943894389406E-3</v>
      </c>
      <c r="F3">
        <f t="shared" ref="F3:F8" si="2">I3/70/24</f>
        <v>2.4752475247524639E-4</v>
      </c>
      <c r="G3">
        <f t="shared" ref="G3:G8" si="3">J3/70/24</f>
        <v>1.237623762376232E-3</v>
      </c>
      <c r="H3">
        <v>2.4257425742574199</v>
      </c>
      <c r="I3">
        <v>0.41584158415841399</v>
      </c>
      <c r="J3">
        <v>2.07920792079207</v>
      </c>
    </row>
    <row r="4" spans="1:10">
      <c r="A4" s="1">
        <v>37210</v>
      </c>
      <c r="B4">
        <v>141.62790697674399</v>
      </c>
      <c r="C4">
        <v>-53.689373297002703</v>
      </c>
      <c r="D4">
        <v>35</v>
      </c>
      <c r="E4">
        <f t="shared" si="1"/>
        <v>1.1138613861386131E-3</v>
      </c>
      <c r="F4">
        <f t="shared" si="2"/>
        <v>3.3003300330032917E-4</v>
      </c>
      <c r="G4">
        <f t="shared" si="3"/>
        <v>1.9389438943894345E-3</v>
      </c>
      <c r="H4">
        <v>1.8712871287128701</v>
      </c>
      <c r="I4">
        <v>0.55445544554455295</v>
      </c>
      <c r="J4">
        <v>3.2574257425742501</v>
      </c>
    </row>
    <row r="5" spans="1:10">
      <c r="A5" s="1">
        <v>37210</v>
      </c>
      <c r="B5">
        <v>139.88372093023199</v>
      </c>
      <c r="C5">
        <v>-56.926430517711097</v>
      </c>
      <c r="D5">
        <v>35</v>
      </c>
      <c r="E5">
        <f t="shared" si="1"/>
        <v>1.278877887788774E-3</v>
      </c>
      <c r="F5">
        <f t="shared" si="2"/>
        <v>2.8877887788778808E-4</v>
      </c>
      <c r="G5">
        <f t="shared" si="3"/>
        <v>1.8976897689768927E-3</v>
      </c>
      <c r="H5">
        <v>2.1485148514851402</v>
      </c>
      <c r="I5">
        <v>0.48514851485148403</v>
      </c>
      <c r="J5">
        <v>3.1881188118811798</v>
      </c>
    </row>
    <row r="6" spans="1:10">
      <c r="A6" s="1">
        <v>37210</v>
      </c>
      <c r="B6">
        <v>139.933554817275</v>
      </c>
      <c r="C6">
        <v>-60.899182561307903</v>
      </c>
      <c r="D6">
        <v>35</v>
      </c>
      <c r="E6">
        <f t="shared" si="1"/>
        <v>1.8564356435643511E-3</v>
      </c>
      <c r="F6">
        <f t="shared" si="2"/>
        <v>9.0759075907590467E-4</v>
      </c>
      <c r="G6">
        <f t="shared" si="3"/>
        <v>3.3828382838283814E-3</v>
      </c>
      <c r="H6">
        <v>3.11881188118811</v>
      </c>
      <c r="I6">
        <v>1.5247524752475199</v>
      </c>
      <c r="J6">
        <v>5.6831683168316802</v>
      </c>
    </row>
    <row r="7" spans="1:10">
      <c r="A7" s="1">
        <v>37210</v>
      </c>
      <c r="B7">
        <v>139.933554817275</v>
      </c>
      <c r="C7">
        <v>-63.940054495912797</v>
      </c>
      <c r="D7">
        <v>35</v>
      </c>
      <c r="E7">
        <f t="shared" si="1"/>
        <v>1.7326732673267323E-3</v>
      </c>
      <c r="F7">
        <f t="shared" si="2"/>
        <v>2.8877887788778808E-4</v>
      </c>
      <c r="G7">
        <f t="shared" si="3"/>
        <v>4.0016501650165003E-3</v>
      </c>
      <c r="H7">
        <v>2.9108910891089099</v>
      </c>
      <c r="I7">
        <v>0.48514851485148403</v>
      </c>
      <c r="J7">
        <v>6.7227722772277199</v>
      </c>
    </row>
    <row r="8" spans="1:10">
      <c r="A8" s="1">
        <v>37210</v>
      </c>
      <c r="B8">
        <v>139.933554817275</v>
      </c>
      <c r="C8">
        <v>-64.920980926430502</v>
      </c>
      <c r="D8">
        <v>35</v>
      </c>
      <c r="E8">
        <f t="shared" si="1"/>
        <v>1.278877887788774E-3</v>
      </c>
      <c r="F8">
        <f t="shared" si="2"/>
        <v>1.1138613861386131E-3</v>
      </c>
      <c r="G8">
        <f t="shared" si="3"/>
        <v>5.3217821782178152E-3</v>
      </c>
      <c r="H8">
        <v>2.1485148514851402</v>
      </c>
      <c r="I8">
        <v>1.8712871287128701</v>
      </c>
      <c r="J8">
        <v>8.9405940594059299</v>
      </c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FE0B-8722-F043-8AE5-FAABA137647A}">
  <dimension ref="A1:U76"/>
  <sheetViews>
    <sheetView topLeftCell="C45" workbookViewId="0">
      <selection activeCell="R71" sqref="R71"/>
    </sheetView>
  </sheetViews>
  <sheetFormatPr baseColWidth="10" defaultRowHeight="20"/>
  <cols>
    <col min="2" max="2" width="4.7109375" bestFit="1" customWidth="1"/>
  </cols>
  <sheetData>
    <row r="1" spans="1:21">
      <c r="A1" s="56" t="s">
        <v>591</v>
      </c>
      <c r="B1" s="56" t="s">
        <v>596</v>
      </c>
      <c r="C1" s="56" t="s">
        <v>590</v>
      </c>
      <c r="D1" s="56" t="s">
        <v>589</v>
      </c>
      <c r="E1" s="56" t="s">
        <v>586</v>
      </c>
      <c r="F1" s="56" t="s">
        <v>587</v>
      </c>
      <c r="G1" s="56" t="s">
        <v>588</v>
      </c>
      <c r="H1" s="56" t="s">
        <v>419</v>
      </c>
      <c r="I1" s="56" t="s">
        <v>4</v>
      </c>
      <c r="J1" s="56" t="s">
        <v>5</v>
      </c>
      <c r="K1" s="57" t="s">
        <v>383</v>
      </c>
      <c r="L1" s="58" t="s">
        <v>592</v>
      </c>
      <c r="M1" s="59" t="s">
        <v>593</v>
      </c>
      <c r="N1" s="59" t="s">
        <v>594</v>
      </c>
      <c r="O1" s="59" t="s">
        <v>595</v>
      </c>
      <c r="P1" s="10" t="s">
        <v>53</v>
      </c>
      <c r="Q1" s="8" t="s">
        <v>52</v>
      </c>
      <c r="R1" s="7" t="s">
        <v>421</v>
      </c>
      <c r="S1" s="62" t="s">
        <v>599</v>
      </c>
      <c r="T1" s="62" t="s">
        <v>597</v>
      </c>
      <c r="U1" s="64" t="s">
        <v>598</v>
      </c>
    </row>
    <row r="2" spans="1:21">
      <c r="A2" s="56" t="s">
        <v>230</v>
      </c>
      <c r="B2" s="63">
        <v>100</v>
      </c>
      <c r="C2" s="56" t="s">
        <v>561</v>
      </c>
      <c r="D2" s="56">
        <v>1</v>
      </c>
      <c r="E2" s="53">
        <v>2000</v>
      </c>
      <c r="F2" s="53">
        <v>9</v>
      </c>
      <c r="G2" s="53">
        <v>14</v>
      </c>
      <c r="H2" s="52">
        <f>DATE(E2,F2,G2)</f>
        <v>36783</v>
      </c>
      <c r="I2" s="56">
        <v>49.616</v>
      </c>
      <c r="J2" s="51">
        <v>-5.4365300000000003</v>
      </c>
      <c r="K2" s="57">
        <v>5</v>
      </c>
      <c r="L2" s="60">
        <v>0.45959595959595956</v>
      </c>
      <c r="M2" s="61">
        <v>19.394896464646461</v>
      </c>
      <c r="N2" s="61">
        <v>8.478662222222221</v>
      </c>
      <c r="O2" s="61">
        <v>27.873558686868684</v>
      </c>
      <c r="P2">
        <f>S2/1000</f>
        <v>4.1401799999999996E-2</v>
      </c>
      <c r="Q2">
        <f t="shared" ref="Q2:R2" si="0">T2/1000</f>
        <v>2.7873558686868683E-2</v>
      </c>
      <c r="R2">
        <f t="shared" si="0"/>
        <v>2.85256895E-2</v>
      </c>
      <c r="S2">
        <v>41.401799999999994</v>
      </c>
      <c r="T2">
        <v>27.873558686868684</v>
      </c>
      <c r="U2">
        <v>28.525689499999999</v>
      </c>
    </row>
    <row r="3" spans="1:21">
      <c r="A3" s="56" t="s">
        <v>230</v>
      </c>
      <c r="B3" s="56">
        <v>7</v>
      </c>
      <c r="C3" s="56" t="s">
        <v>561</v>
      </c>
      <c r="D3" s="56">
        <v>1</v>
      </c>
      <c r="E3" s="53">
        <v>2000</v>
      </c>
      <c r="F3" s="53">
        <v>9</v>
      </c>
      <c r="G3" s="53">
        <v>14</v>
      </c>
      <c r="H3" s="52">
        <f t="shared" ref="H3:H66" si="1">DATE(E3,F3,G3)</f>
        <v>36783</v>
      </c>
      <c r="I3" s="56">
        <v>49.616</v>
      </c>
      <c r="J3" s="51">
        <v>-5.4365300000000003</v>
      </c>
      <c r="K3" s="57">
        <v>10</v>
      </c>
      <c r="L3" s="60">
        <v>5.0505050505050197E-3</v>
      </c>
      <c r="M3" s="61">
        <v>12.031644444444439</v>
      </c>
      <c r="N3" s="61">
        <v>9.9766044444444404</v>
      </c>
      <c r="O3" s="61">
        <v>22.008248888888879</v>
      </c>
      <c r="P3">
        <f t="shared" ref="P3:P66" si="2">S3/1000</f>
        <v>1.0354050000000002E-2</v>
      </c>
      <c r="Q3">
        <f t="shared" ref="Q3:Q66" si="3">T3/1000</f>
        <v>2.200824888888888E-2</v>
      </c>
      <c r="R3">
        <f t="shared" ref="R3:R66" si="4">U3/1000</f>
        <v>3.5198640000000003E-2</v>
      </c>
      <c r="S3">
        <v>10.354050000000003</v>
      </c>
      <c r="T3">
        <v>22.008248888888879</v>
      </c>
      <c r="U3">
        <v>35.198640000000005</v>
      </c>
    </row>
    <row r="4" spans="1:21">
      <c r="A4" s="56" t="s">
        <v>230</v>
      </c>
      <c r="B4" s="63">
        <v>1</v>
      </c>
      <c r="C4" s="56" t="s">
        <v>561</v>
      </c>
      <c r="D4" s="56">
        <v>1</v>
      </c>
      <c r="E4" s="53">
        <v>2000</v>
      </c>
      <c r="F4" s="53">
        <v>9</v>
      </c>
      <c r="G4" s="53">
        <v>14</v>
      </c>
      <c r="H4" s="52">
        <f t="shared" si="1"/>
        <v>36783</v>
      </c>
      <c r="I4" s="56">
        <v>49.616</v>
      </c>
      <c r="J4" s="51">
        <v>-5.4365300000000003</v>
      </c>
      <c r="K4" s="57">
        <v>20</v>
      </c>
      <c r="L4" s="60">
        <v>5.5555555555555476E-2</v>
      </c>
      <c r="M4" s="61">
        <v>0.19024444444444438</v>
      </c>
      <c r="N4" s="61">
        <v>0.22213333333333318</v>
      </c>
      <c r="O4" s="61">
        <v>0.41237777777777757</v>
      </c>
      <c r="P4">
        <f t="shared" si="2"/>
        <v>1.1881416000000021E-3</v>
      </c>
      <c r="Q4">
        <f t="shared" si="3"/>
        <v>4.1237777777777758E-4</v>
      </c>
      <c r="R4">
        <f t="shared" si="4"/>
        <v>6.1325400000000023E-3</v>
      </c>
      <c r="S4">
        <v>1.1881416000000022</v>
      </c>
      <c r="T4">
        <v>0.41237777777777757</v>
      </c>
      <c r="U4">
        <v>6.1325400000000023</v>
      </c>
    </row>
    <row r="5" spans="1:21">
      <c r="A5" s="56" t="s">
        <v>319</v>
      </c>
      <c r="B5" s="63">
        <v>100</v>
      </c>
      <c r="C5" s="62" t="s">
        <v>562</v>
      </c>
      <c r="D5" s="62">
        <v>3</v>
      </c>
      <c r="E5" s="53">
        <v>2000</v>
      </c>
      <c r="F5" s="53">
        <v>9</v>
      </c>
      <c r="G5" s="53">
        <v>15</v>
      </c>
      <c r="H5" s="52">
        <f t="shared" si="1"/>
        <v>36784</v>
      </c>
      <c r="I5" s="56">
        <v>47.134399999999999</v>
      </c>
      <c r="J5" s="51">
        <v>-11.5845</v>
      </c>
      <c r="K5" s="57">
        <v>4</v>
      </c>
      <c r="L5" s="60">
        <v>0.20707070707070702</v>
      </c>
      <c r="M5" s="61">
        <v>1.3626569696969697</v>
      </c>
      <c r="N5" s="61">
        <v>0.58842424242424241</v>
      </c>
      <c r="O5" s="61">
        <v>1.951081212121212</v>
      </c>
      <c r="P5">
        <f t="shared" si="2"/>
        <v>6.0442991650000019E-3</v>
      </c>
      <c r="Q5">
        <f t="shared" si="3"/>
        <v>1.951081212121212E-3</v>
      </c>
      <c r="R5">
        <f t="shared" si="4"/>
        <v>2.0507134999999998E-3</v>
      </c>
      <c r="S5">
        <v>6.0442991650000018</v>
      </c>
      <c r="T5">
        <v>1.951081212121212</v>
      </c>
      <c r="U5">
        <v>2.0507134999999996</v>
      </c>
    </row>
    <row r="6" spans="1:21">
      <c r="A6" s="56" t="s">
        <v>319</v>
      </c>
      <c r="B6" s="56">
        <v>7</v>
      </c>
      <c r="C6" s="62" t="s">
        <v>562</v>
      </c>
      <c r="D6" s="62">
        <v>3</v>
      </c>
      <c r="E6" s="53">
        <v>2000</v>
      </c>
      <c r="F6" s="53">
        <v>9</v>
      </c>
      <c r="G6" s="53">
        <v>15</v>
      </c>
      <c r="H6" s="52">
        <f t="shared" si="1"/>
        <v>36784</v>
      </c>
      <c r="I6" s="56">
        <v>47.134399999999999</v>
      </c>
      <c r="J6" s="51">
        <v>-11.5845</v>
      </c>
      <c r="K6" s="57">
        <v>30</v>
      </c>
      <c r="L6" s="60">
        <v>5.5555555555555476E-2</v>
      </c>
      <c r="M6" s="61">
        <v>0.27917555555555584</v>
      </c>
      <c r="N6" s="61">
        <v>0.14349999999999991</v>
      </c>
      <c r="O6" s="61">
        <v>0.42267555555555575</v>
      </c>
      <c r="P6">
        <f t="shared" si="2"/>
        <v>4.7388900000000008E-3</v>
      </c>
      <c r="Q6">
        <f t="shared" si="3"/>
        <v>4.2267555555555573E-4</v>
      </c>
      <c r="R6">
        <f t="shared" si="4"/>
        <v>3.207952E-3</v>
      </c>
      <c r="S6">
        <v>4.7388900000000005</v>
      </c>
      <c r="T6">
        <v>0.42267555555555575</v>
      </c>
      <c r="U6">
        <v>3.2079520000000001</v>
      </c>
    </row>
    <row r="7" spans="1:21">
      <c r="A7" s="56" t="s">
        <v>319</v>
      </c>
      <c r="B7" s="63">
        <v>1</v>
      </c>
      <c r="C7" s="62" t="s">
        <v>562</v>
      </c>
      <c r="D7" s="62">
        <v>3</v>
      </c>
      <c r="E7" s="53">
        <v>2000</v>
      </c>
      <c r="F7" s="53">
        <v>9</v>
      </c>
      <c r="G7" s="53">
        <v>15</v>
      </c>
      <c r="H7" s="52">
        <f t="shared" si="1"/>
        <v>36784</v>
      </c>
      <c r="I7" s="56">
        <v>47.134399999999999</v>
      </c>
      <c r="J7" s="51">
        <v>-11.5845</v>
      </c>
      <c r="K7" s="57">
        <v>40</v>
      </c>
      <c r="L7" s="60">
        <v>1.7222222222222221</v>
      </c>
      <c r="M7" s="61">
        <v>0.58301999999999976</v>
      </c>
      <c r="N7" s="61">
        <v>0.23916666666666667</v>
      </c>
      <c r="O7" s="61">
        <v>0.82218666666666651</v>
      </c>
      <c r="P7">
        <f t="shared" si="2"/>
        <v>1.6720055000000022E-3</v>
      </c>
      <c r="Q7">
        <f t="shared" si="3"/>
        <v>8.2218666666666646E-4</v>
      </c>
      <c r="R7">
        <f t="shared" si="4"/>
        <v>5.1568996000000006E-3</v>
      </c>
      <c r="S7">
        <v>1.6720055000000023</v>
      </c>
      <c r="T7">
        <v>0.82218666666666651</v>
      </c>
      <c r="U7">
        <v>5.1568996000000009</v>
      </c>
    </row>
    <row r="8" spans="1:21">
      <c r="A8" s="56" t="s">
        <v>319</v>
      </c>
      <c r="B8" s="63">
        <v>100</v>
      </c>
      <c r="C8" s="62" t="s">
        <v>563</v>
      </c>
      <c r="D8" s="62">
        <v>5</v>
      </c>
      <c r="E8" s="53">
        <v>2000</v>
      </c>
      <c r="F8" s="53">
        <v>9</v>
      </c>
      <c r="G8" s="53">
        <v>16</v>
      </c>
      <c r="H8" s="52">
        <f t="shared" si="1"/>
        <v>36785</v>
      </c>
      <c r="I8" s="56">
        <v>42.970700000000001</v>
      </c>
      <c r="J8" s="51">
        <v>-14.749919999999999</v>
      </c>
      <c r="K8" s="57">
        <v>4</v>
      </c>
      <c r="L8" s="60">
        <v>5.5555555555555476E-2</v>
      </c>
      <c r="M8" s="61">
        <v>0.87312166666666624</v>
      </c>
      <c r="N8" s="61">
        <v>0.56069999999999953</v>
      </c>
      <c r="O8" s="61">
        <v>1.4338216666666657</v>
      </c>
      <c r="P8">
        <f t="shared" si="2"/>
        <v>4.9950846399999995E-3</v>
      </c>
      <c r="Q8">
        <f t="shared" si="3"/>
        <v>1.4338216666666657E-3</v>
      </c>
      <c r="R8">
        <f t="shared" si="4"/>
        <v>1.0296568333333332E-3</v>
      </c>
      <c r="S8">
        <v>4.9950846399999991</v>
      </c>
      <c r="T8">
        <v>1.4338216666666657</v>
      </c>
      <c r="U8">
        <v>1.0296568333333331</v>
      </c>
    </row>
    <row r="9" spans="1:21">
      <c r="A9" s="56" t="s">
        <v>319</v>
      </c>
      <c r="B9" s="56">
        <v>7</v>
      </c>
      <c r="C9" s="62" t="s">
        <v>563</v>
      </c>
      <c r="D9" s="62">
        <v>5</v>
      </c>
      <c r="E9" s="53">
        <v>2000</v>
      </c>
      <c r="F9" s="53">
        <v>9</v>
      </c>
      <c r="G9" s="53">
        <v>16</v>
      </c>
      <c r="H9" s="52">
        <f t="shared" si="1"/>
        <v>36785</v>
      </c>
      <c r="I9" s="56">
        <v>42.970700000000001</v>
      </c>
      <c r="J9" s="51">
        <v>-14.749919999999999</v>
      </c>
      <c r="K9" s="57">
        <v>45</v>
      </c>
      <c r="L9" s="60">
        <v>0.01</v>
      </c>
      <c r="M9" s="61">
        <v>1.5016567500000002</v>
      </c>
      <c r="N9" s="61">
        <v>0.42757000000000045</v>
      </c>
      <c r="O9" s="61">
        <v>1.9292267500000004</v>
      </c>
      <c r="P9">
        <f t="shared" si="2"/>
        <v>8.5014755555555561E-3</v>
      </c>
      <c r="Q9">
        <f t="shared" si="3"/>
        <v>1.9292267500000005E-3</v>
      </c>
      <c r="R9">
        <f t="shared" si="4"/>
        <v>9.8139433333333361E-4</v>
      </c>
      <c r="S9">
        <v>8.5014755555555563</v>
      </c>
      <c r="T9">
        <v>1.9292267500000004</v>
      </c>
      <c r="U9">
        <v>0.98139433333333359</v>
      </c>
    </row>
    <row r="10" spans="1:21">
      <c r="A10" s="56" t="s">
        <v>319</v>
      </c>
      <c r="B10" s="63">
        <v>1</v>
      </c>
      <c r="C10" s="62" t="s">
        <v>563</v>
      </c>
      <c r="D10" s="62">
        <v>5</v>
      </c>
      <c r="E10" s="53">
        <v>2000</v>
      </c>
      <c r="F10" s="53">
        <v>9</v>
      </c>
      <c r="G10" s="53">
        <v>16</v>
      </c>
      <c r="H10" s="52">
        <f t="shared" si="1"/>
        <v>36785</v>
      </c>
      <c r="I10" s="56">
        <v>42.970700000000001</v>
      </c>
      <c r="J10" s="51">
        <v>-14.749919999999999</v>
      </c>
      <c r="K10" s="57">
        <v>65</v>
      </c>
      <c r="L10" s="60">
        <v>0.15656565656565649</v>
      </c>
      <c r="M10" s="61">
        <v>1.4153572727272721</v>
      </c>
      <c r="N10" s="61">
        <v>1.0335490909090905</v>
      </c>
      <c r="O10" s="61">
        <v>2.4489063636363624</v>
      </c>
      <c r="P10">
        <f t="shared" si="2"/>
        <v>2.4107580000000016E-3</v>
      </c>
      <c r="Q10">
        <f t="shared" si="3"/>
        <v>2.4489063636363622E-3</v>
      </c>
      <c r="R10">
        <f t="shared" si="4"/>
        <v>4.8387584999999992E-3</v>
      </c>
      <c r="S10">
        <v>2.4107580000000017</v>
      </c>
      <c r="T10">
        <v>2.4489063636363624</v>
      </c>
      <c r="U10">
        <v>4.8387584999999991</v>
      </c>
    </row>
    <row r="11" spans="1:21">
      <c r="A11" s="56" t="s">
        <v>319</v>
      </c>
      <c r="B11" s="63">
        <v>100</v>
      </c>
      <c r="C11" s="62" t="s">
        <v>564</v>
      </c>
      <c r="D11" s="62">
        <v>7</v>
      </c>
      <c r="E11" s="53">
        <v>2000</v>
      </c>
      <c r="F11" s="53">
        <v>9</v>
      </c>
      <c r="G11" s="53">
        <v>17</v>
      </c>
      <c r="H11" s="52">
        <f t="shared" si="1"/>
        <v>36786</v>
      </c>
      <c r="I11" s="56">
        <v>38.9649</v>
      </c>
      <c r="J11" s="51">
        <v>-17.693239999999999</v>
      </c>
      <c r="K11" s="57">
        <v>4</v>
      </c>
      <c r="L11" s="60">
        <v>1.1161616161616161</v>
      </c>
      <c r="M11" s="61">
        <v>4.3939108417508415</v>
      </c>
      <c r="N11" s="61">
        <v>0.57889292929292935</v>
      </c>
      <c r="O11" s="61">
        <v>4.9728037710437709</v>
      </c>
      <c r="P11">
        <f t="shared" si="2"/>
        <v>4.8943555555555553E-4</v>
      </c>
      <c r="Q11">
        <f t="shared" si="3"/>
        <v>4.972803771043771E-3</v>
      </c>
      <c r="R11">
        <f t="shared" si="4"/>
        <v>3.4935913333333411E-4</v>
      </c>
      <c r="S11">
        <v>0.48943555555555551</v>
      </c>
      <c r="T11">
        <v>4.9728037710437709</v>
      </c>
      <c r="U11">
        <v>0.34935913333333413</v>
      </c>
    </row>
    <row r="12" spans="1:21">
      <c r="A12" s="56" t="s">
        <v>319</v>
      </c>
      <c r="B12" s="56">
        <v>7</v>
      </c>
      <c r="C12" s="62" t="s">
        <v>564</v>
      </c>
      <c r="D12" s="62">
        <v>7</v>
      </c>
      <c r="E12" s="53">
        <v>2000</v>
      </c>
      <c r="F12" s="53">
        <v>9</v>
      </c>
      <c r="G12" s="53">
        <v>17</v>
      </c>
      <c r="H12" s="52">
        <f t="shared" si="1"/>
        <v>36786</v>
      </c>
      <c r="I12" s="56">
        <v>38.9649</v>
      </c>
      <c r="J12" s="51">
        <v>-17.693239999999999</v>
      </c>
      <c r="K12" s="57">
        <v>50</v>
      </c>
      <c r="L12" s="60">
        <v>5.5555555555555476E-2</v>
      </c>
      <c r="M12" s="61">
        <v>0.30074074074074064</v>
      </c>
      <c r="N12" s="61">
        <v>0.17048370370370364</v>
      </c>
      <c r="O12" s="61">
        <v>0.47122444444444428</v>
      </c>
      <c r="P12">
        <f t="shared" si="2"/>
        <v>1.8465978666666672E-3</v>
      </c>
      <c r="Q12">
        <f t="shared" si="3"/>
        <v>4.7122444444444426E-4</v>
      </c>
      <c r="R12">
        <f t="shared" si="4"/>
        <v>2.9079383333333356E-4</v>
      </c>
      <c r="S12">
        <v>1.8465978666666671</v>
      </c>
      <c r="T12">
        <v>0.47122444444444428</v>
      </c>
      <c r="U12">
        <v>0.29079383333333358</v>
      </c>
    </row>
    <row r="13" spans="1:21">
      <c r="A13" s="56" t="s">
        <v>319</v>
      </c>
      <c r="B13" s="63">
        <v>1</v>
      </c>
      <c r="C13" s="62" t="s">
        <v>564</v>
      </c>
      <c r="D13" s="62">
        <v>7</v>
      </c>
      <c r="E13" s="53">
        <v>2000</v>
      </c>
      <c r="F13" s="53">
        <v>9</v>
      </c>
      <c r="G13" s="53">
        <v>17</v>
      </c>
      <c r="H13" s="52">
        <f t="shared" si="1"/>
        <v>36786</v>
      </c>
      <c r="I13" s="56">
        <v>38.9649</v>
      </c>
      <c r="J13" s="51">
        <v>-17.693239999999999</v>
      </c>
      <c r="K13" s="57">
        <v>85</v>
      </c>
      <c r="L13" s="60">
        <v>0.81313131313131304</v>
      </c>
      <c r="M13" s="61">
        <v>1.0652589898989899</v>
      </c>
      <c r="N13" s="61">
        <v>1.218725925925926</v>
      </c>
      <c r="O13" s="61">
        <v>2.2839849158249161</v>
      </c>
      <c r="P13">
        <f t="shared" si="2"/>
        <v>1.4674399999999998E-3</v>
      </c>
      <c r="Q13">
        <f t="shared" si="3"/>
        <v>2.2839849158249161E-3</v>
      </c>
      <c r="R13">
        <f t="shared" si="4"/>
        <v>6.1045950000000022E-4</v>
      </c>
      <c r="S13">
        <v>1.4674399999999999</v>
      </c>
      <c r="T13">
        <v>2.2839849158249161</v>
      </c>
      <c r="U13">
        <v>0.61045950000000027</v>
      </c>
    </row>
    <row r="14" spans="1:21">
      <c r="A14" s="56" t="s">
        <v>328</v>
      </c>
      <c r="B14" s="63">
        <v>100</v>
      </c>
      <c r="C14" s="62" t="s">
        <v>565</v>
      </c>
      <c r="D14" s="62">
        <v>9</v>
      </c>
      <c r="E14" s="53">
        <v>2000</v>
      </c>
      <c r="F14" s="53">
        <v>9</v>
      </c>
      <c r="G14" s="53">
        <v>18</v>
      </c>
      <c r="H14" s="52">
        <f t="shared" si="1"/>
        <v>36787</v>
      </c>
      <c r="I14" s="56">
        <v>34.933799999999998</v>
      </c>
      <c r="J14" s="51">
        <v>-20.454499999999999</v>
      </c>
      <c r="K14" s="57">
        <v>4</v>
      </c>
      <c r="L14" s="60">
        <v>0.25757575757575757</v>
      </c>
      <c r="M14" s="61">
        <v>0.90986196379378181</v>
      </c>
      <c r="N14" s="61">
        <v>0.95541223927587571</v>
      </c>
      <c r="O14" s="61">
        <v>1.8652742030696576</v>
      </c>
      <c r="P14">
        <f t="shared" si="2"/>
        <v>1.7353648068669527E-3</v>
      </c>
      <c r="Q14">
        <f t="shared" si="3"/>
        <v>1.8652742030696575E-3</v>
      </c>
      <c r="R14">
        <f t="shared" si="4"/>
        <v>6.8291551948051988E-4</v>
      </c>
      <c r="S14">
        <v>1.7353648068669527</v>
      </c>
      <c r="T14">
        <v>1.8652742030696576</v>
      </c>
      <c r="U14">
        <v>0.68291551948051987</v>
      </c>
    </row>
    <row r="15" spans="1:21">
      <c r="A15" s="56" t="s">
        <v>328</v>
      </c>
      <c r="B15" s="56">
        <v>7</v>
      </c>
      <c r="C15" s="62" t="s">
        <v>565</v>
      </c>
      <c r="D15" s="62">
        <v>9</v>
      </c>
      <c r="E15" s="53">
        <v>2000</v>
      </c>
      <c r="F15" s="53">
        <v>9</v>
      </c>
      <c r="G15" s="53">
        <v>18</v>
      </c>
      <c r="H15" s="52">
        <f t="shared" si="1"/>
        <v>36787</v>
      </c>
      <c r="I15" s="56">
        <v>34.933799999999998</v>
      </c>
      <c r="J15" s="51">
        <v>-20.454499999999999</v>
      </c>
      <c r="K15" s="57">
        <v>50</v>
      </c>
      <c r="L15" s="60">
        <v>0.25757575757575757</v>
      </c>
      <c r="M15" s="61">
        <v>1.6213158205430933</v>
      </c>
      <c r="N15" s="61">
        <v>0.3618597009051554</v>
      </c>
      <c r="O15" s="61">
        <v>1.9831755214482485</v>
      </c>
      <c r="P15">
        <f t="shared" si="2"/>
        <v>1.7644223175965674E-3</v>
      </c>
      <c r="Q15">
        <f t="shared" si="3"/>
        <v>1.9831755214482485E-3</v>
      </c>
      <c r="R15">
        <f t="shared" si="4"/>
        <v>6.3911941558441601E-4</v>
      </c>
      <c r="S15">
        <v>1.7644223175965674</v>
      </c>
      <c r="T15">
        <v>1.9831755214482485</v>
      </c>
      <c r="U15">
        <v>0.63911941558441598</v>
      </c>
    </row>
    <row r="16" spans="1:21">
      <c r="A16" s="56" t="s">
        <v>328</v>
      </c>
      <c r="B16" s="63">
        <v>1</v>
      </c>
      <c r="C16" s="62" t="s">
        <v>565</v>
      </c>
      <c r="D16" s="62">
        <v>9</v>
      </c>
      <c r="E16" s="53">
        <v>2000</v>
      </c>
      <c r="F16" s="53">
        <v>9</v>
      </c>
      <c r="G16" s="53">
        <v>18</v>
      </c>
      <c r="H16" s="52">
        <f t="shared" si="1"/>
        <v>36787</v>
      </c>
      <c r="I16" s="56">
        <v>34.933799999999998</v>
      </c>
      <c r="J16" s="51">
        <v>-20.454499999999999</v>
      </c>
      <c r="K16" s="57">
        <v>95</v>
      </c>
      <c r="L16" s="60">
        <v>0.01</v>
      </c>
      <c r="M16" s="61">
        <v>8.3903571428571452E-2</v>
      </c>
      <c r="N16" s="61">
        <v>4.7925000000000002E-2</v>
      </c>
      <c r="O16" s="61">
        <v>0.13182857142857146</v>
      </c>
      <c r="P16">
        <f t="shared" si="2"/>
        <v>9.330347467811158E-4</v>
      </c>
      <c r="Q16">
        <f t="shared" si="3"/>
        <v>1.3182857142857147E-4</v>
      </c>
      <c r="R16">
        <f t="shared" si="4"/>
        <v>8.3514375000000036E-4</v>
      </c>
      <c r="S16">
        <v>0.93303474678111575</v>
      </c>
      <c r="T16">
        <v>0.13182857142857146</v>
      </c>
      <c r="U16">
        <v>0.83514375000000041</v>
      </c>
    </row>
    <row r="17" spans="1:21">
      <c r="A17" s="56" t="s">
        <v>328</v>
      </c>
      <c r="B17" s="63">
        <v>100</v>
      </c>
      <c r="C17" s="62" t="s">
        <v>566</v>
      </c>
      <c r="D17" s="62">
        <v>11</v>
      </c>
      <c r="E17" s="53">
        <v>2000</v>
      </c>
      <c r="F17" s="53">
        <v>9</v>
      </c>
      <c r="G17" s="53">
        <v>19</v>
      </c>
      <c r="H17" s="52">
        <f t="shared" si="1"/>
        <v>36788</v>
      </c>
      <c r="I17" s="56">
        <v>30.5501</v>
      </c>
      <c r="J17" s="51">
        <v>-21.388950000000001</v>
      </c>
      <c r="K17" s="57">
        <v>4</v>
      </c>
      <c r="L17" s="60">
        <v>0.71212121212121193</v>
      </c>
      <c r="M17" s="61">
        <v>2.5750728114478107</v>
      </c>
      <c r="N17" s="61">
        <v>1.1374772727272724</v>
      </c>
      <c r="O17" s="61">
        <v>3.7125500841750831</v>
      </c>
      <c r="P17">
        <f t="shared" si="2"/>
        <v>5.2874173611111152E-4</v>
      </c>
      <c r="Q17">
        <f t="shared" si="3"/>
        <v>3.7125500841750829E-3</v>
      </c>
      <c r="R17">
        <f t="shared" si="4"/>
        <v>0</v>
      </c>
      <c r="S17">
        <v>0.52874173611111153</v>
      </c>
      <c r="T17">
        <v>3.7125500841750831</v>
      </c>
    </row>
    <row r="18" spans="1:21">
      <c r="A18" s="56" t="s">
        <v>328</v>
      </c>
      <c r="B18" s="56">
        <v>7</v>
      </c>
      <c r="C18" s="62" t="s">
        <v>566</v>
      </c>
      <c r="D18" s="62">
        <v>11</v>
      </c>
      <c r="E18" s="53">
        <v>2000</v>
      </c>
      <c r="F18" s="53">
        <v>9</v>
      </c>
      <c r="G18" s="53">
        <v>19</v>
      </c>
      <c r="H18" s="52">
        <f t="shared" si="1"/>
        <v>36788</v>
      </c>
      <c r="I18" s="56">
        <v>30.5501</v>
      </c>
      <c r="J18" s="51">
        <v>-21.388950000000001</v>
      </c>
      <c r="K18" s="57">
        <v>60</v>
      </c>
      <c r="L18" s="60">
        <v>5.0505050505050197E-3</v>
      </c>
      <c r="M18" s="61">
        <v>0.56028395061728375</v>
      </c>
      <c r="N18" s="61">
        <v>0.27368574635241288</v>
      </c>
      <c r="O18" s="61">
        <v>0.83396969696969658</v>
      </c>
      <c r="P18">
        <f t="shared" si="2"/>
        <v>1.2834351851851852E-3</v>
      </c>
      <c r="Q18">
        <f t="shared" si="3"/>
        <v>8.3396969696969663E-4</v>
      </c>
      <c r="R18">
        <f t="shared" si="4"/>
        <v>0</v>
      </c>
      <c r="S18">
        <v>1.2834351851851853</v>
      </c>
      <c r="T18">
        <v>0.83396969696969658</v>
      </c>
    </row>
    <row r="19" spans="1:21">
      <c r="A19" s="56" t="s">
        <v>328</v>
      </c>
      <c r="B19" s="63">
        <v>1</v>
      </c>
      <c r="C19" s="62" t="s">
        <v>566</v>
      </c>
      <c r="D19" s="62">
        <v>11</v>
      </c>
      <c r="E19" s="53">
        <v>2000</v>
      </c>
      <c r="F19" s="53">
        <v>9</v>
      </c>
      <c r="G19" s="53">
        <v>19</v>
      </c>
      <c r="H19" s="52">
        <f t="shared" si="1"/>
        <v>36788</v>
      </c>
      <c r="I19" s="56">
        <v>30.5501</v>
      </c>
      <c r="J19" s="51">
        <v>-21.388950000000001</v>
      </c>
      <c r="K19" s="57">
        <v>120</v>
      </c>
      <c r="L19" s="60">
        <v>0.01</v>
      </c>
      <c r="M19" s="61">
        <v>0.16139444444444448</v>
      </c>
      <c r="N19" s="61">
        <v>0.28413229166666676</v>
      </c>
      <c r="O19" s="61">
        <v>0.44552673611111121</v>
      </c>
      <c r="P19">
        <f t="shared" si="2"/>
        <v>1.6932870370370384E-4</v>
      </c>
      <c r="Q19">
        <f t="shared" si="3"/>
        <v>4.4552673611111121E-4</v>
      </c>
      <c r="R19">
        <f t="shared" si="4"/>
        <v>0</v>
      </c>
      <c r="S19">
        <v>0.16932870370370384</v>
      </c>
      <c r="T19">
        <v>0.44552673611111121</v>
      </c>
    </row>
    <row r="20" spans="1:21">
      <c r="A20" s="56" t="s">
        <v>328</v>
      </c>
      <c r="B20" s="63">
        <v>100</v>
      </c>
      <c r="C20" s="62" t="s">
        <v>567</v>
      </c>
      <c r="D20" s="62">
        <v>13</v>
      </c>
      <c r="E20" s="53">
        <v>2000</v>
      </c>
      <c r="F20" s="53">
        <v>9</v>
      </c>
      <c r="G20" s="53">
        <v>20</v>
      </c>
      <c r="H20" s="52">
        <f t="shared" si="1"/>
        <v>36789</v>
      </c>
      <c r="I20" s="56">
        <v>26.220800000000001</v>
      </c>
      <c r="J20" s="51">
        <v>-21.78098</v>
      </c>
      <c r="K20" s="57">
        <v>4</v>
      </c>
      <c r="L20" s="60">
        <v>5.5555555555555476E-2</v>
      </c>
      <c r="M20" s="61">
        <v>1.064076363636363</v>
      </c>
      <c r="N20" s="61">
        <v>1.2907773737373736</v>
      </c>
      <c r="O20" s="61">
        <v>2.3548537373737362</v>
      </c>
      <c r="P20">
        <f t="shared" si="2"/>
        <v>1.2431537962962961E-3</v>
      </c>
      <c r="Q20">
        <f t="shared" si="3"/>
        <v>2.3548537373737364E-3</v>
      </c>
      <c r="R20">
        <f t="shared" si="4"/>
        <v>4.494511636363637E-4</v>
      </c>
      <c r="S20">
        <v>1.2431537962962962</v>
      </c>
      <c r="T20">
        <v>2.3548537373737362</v>
      </c>
      <c r="U20">
        <v>0.44945116363636373</v>
      </c>
    </row>
    <row r="21" spans="1:21">
      <c r="A21" s="56" t="s">
        <v>328</v>
      </c>
      <c r="B21" s="56">
        <v>7</v>
      </c>
      <c r="C21" s="62" t="s">
        <v>567</v>
      </c>
      <c r="D21" s="62">
        <v>13</v>
      </c>
      <c r="E21" s="53">
        <v>2000</v>
      </c>
      <c r="F21" s="53">
        <v>9</v>
      </c>
      <c r="G21" s="53">
        <v>20</v>
      </c>
      <c r="H21" s="52">
        <f t="shared" si="1"/>
        <v>36789</v>
      </c>
      <c r="I21" s="56">
        <v>26.220800000000001</v>
      </c>
      <c r="J21" s="51">
        <v>-21.78098</v>
      </c>
      <c r="K21" s="57">
        <v>55</v>
      </c>
      <c r="L21" s="60">
        <v>5.0505050505050197E-3</v>
      </c>
      <c r="M21" s="61">
        <v>1.4547852341597791</v>
      </c>
      <c r="N21" s="61">
        <v>0.39892642791551897</v>
      </c>
      <c r="O21" s="61">
        <v>1.853711662075298</v>
      </c>
      <c r="P21">
        <f t="shared" si="2"/>
        <v>7.6125983796296282E-4</v>
      </c>
      <c r="Q21">
        <f t="shared" si="3"/>
        <v>1.8537116620752981E-3</v>
      </c>
      <c r="R21">
        <f t="shared" si="4"/>
        <v>4.8660407272727284E-4</v>
      </c>
      <c r="S21">
        <v>0.76125983796296282</v>
      </c>
      <c r="T21">
        <v>1.853711662075298</v>
      </c>
      <c r="U21">
        <v>0.48660407272727285</v>
      </c>
    </row>
    <row r="22" spans="1:21">
      <c r="A22" s="56" t="s">
        <v>328</v>
      </c>
      <c r="B22" s="63">
        <v>1</v>
      </c>
      <c r="C22" s="62" t="s">
        <v>567</v>
      </c>
      <c r="D22" s="62">
        <v>13</v>
      </c>
      <c r="E22" s="53">
        <v>2000</v>
      </c>
      <c r="F22" s="53">
        <v>9</v>
      </c>
      <c r="G22" s="53">
        <v>20</v>
      </c>
      <c r="H22" s="52">
        <f t="shared" si="1"/>
        <v>36789</v>
      </c>
      <c r="I22" s="56">
        <v>26.220800000000001</v>
      </c>
      <c r="J22" s="51">
        <v>-21.78098</v>
      </c>
      <c r="K22" s="57">
        <v>125</v>
      </c>
      <c r="L22" s="60">
        <v>0.25757575757575757</v>
      </c>
      <c r="M22" s="61">
        <v>0.2475724517906337</v>
      </c>
      <c r="N22" s="61">
        <v>0.12794710743801652</v>
      </c>
      <c r="O22" s="61">
        <v>0.37551955922865021</v>
      </c>
      <c r="P22">
        <f t="shared" si="2"/>
        <v>4.0373055555555608E-4</v>
      </c>
      <c r="Q22">
        <f t="shared" si="3"/>
        <v>3.755195592286502E-4</v>
      </c>
      <c r="R22">
        <f t="shared" si="4"/>
        <v>2.7541970909090942E-4</v>
      </c>
      <c r="S22">
        <v>0.40373055555555609</v>
      </c>
      <c r="T22">
        <v>0.37551955922865021</v>
      </c>
      <c r="U22">
        <v>0.2754197090909094</v>
      </c>
    </row>
    <row r="23" spans="1:21">
      <c r="A23" s="56" t="s">
        <v>329</v>
      </c>
      <c r="B23" s="63">
        <v>100</v>
      </c>
      <c r="C23" s="62" t="s">
        <v>568</v>
      </c>
      <c r="D23" s="62">
        <v>15</v>
      </c>
      <c r="E23" s="53">
        <v>2000</v>
      </c>
      <c r="F23" s="53">
        <v>9</v>
      </c>
      <c r="G23" s="53">
        <v>21</v>
      </c>
      <c r="H23" s="52">
        <f t="shared" si="1"/>
        <v>36790</v>
      </c>
      <c r="I23" s="56">
        <v>21.953399999999998</v>
      </c>
      <c r="J23" s="51">
        <v>-20.998860000000001</v>
      </c>
      <c r="K23" s="57">
        <v>4</v>
      </c>
      <c r="L23" s="60">
        <v>5.0505050505050197E-3</v>
      </c>
      <c r="M23" s="61">
        <v>2.0624146904005549</v>
      </c>
      <c r="N23" s="61">
        <v>0.74686454652532386</v>
      </c>
      <c r="O23" s="61">
        <v>2.8092792369258786</v>
      </c>
      <c r="P23">
        <f t="shared" si="2"/>
        <v>1.0755555555555557E-3</v>
      </c>
      <c r="Q23">
        <f t="shared" si="3"/>
        <v>2.8092792369258787E-3</v>
      </c>
      <c r="R23">
        <f t="shared" si="4"/>
        <v>1.3279284940265858E-3</v>
      </c>
      <c r="S23">
        <v>1.0755555555555558</v>
      </c>
      <c r="T23">
        <v>2.8092792369258786</v>
      </c>
      <c r="U23">
        <v>1.3279284940265859</v>
      </c>
    </row>
    <row r="24" spans="1:21">
      <c r="A24" s="56" t="s">
        <v>329</v>
      </c>
      <c r="B24" s="56">
        <v>7</v>
      </c>
      <c r="C24" s="62" t="s">
        <v>568</v>
      </c>
      <c r="D24" s="62">
        <v>15</v>
      </c>
      <c r="E24" s="53">
        <v>2000</v>
      </c>
      <c r="F24" s="53">
        <v>9</v>
      </c>
      <c r="G24" s="53">
        <v>21</v>
      </c>
      <c r="H24" s="52">
        <f t="shared" si="1"/>
        <v>36790</v>
      </c>
      <c r="I24" s="56">
        <v>21.953399999999998</v>
      </c>
      <c r="J24" s="51">
        <v>-20.998860000000001</v>
      </c>
      <c r="K24" s="57">
        <v>40</v>
      </c>
      <c r="L24" s="60">
        <v>0.15656565656565649</v>
      </c>
      <c r="M24" s="61">
        <v>4.8596894062618174</v>
      </c>
      <c r="N24" s="61">
        <v>1.3314307027875947</v>
      </c>
      <c r="O24" s="61">
        <v>6.1911201090494119</v>
      </c>
      <c r="P24">
        <f t="shared" si="2"/>
        <v>7.0420879629629616E-4</v>
      </c>
      <c r="Q24">
        <f t="shared" si="3"/>
        <v>6.1911201090494115E-3</v>
      </c>
      <c r="R24">
        <f t="shared" si="4"/>
        <v>7.6883348174322033E-3</v>
      </c>
      <c r="S24">
        <v>0.70420879629629618</v>
      </c>
      <c r="T24">
        <v>6.1911201090494119</v>
      </c>
      <c r="U24">
        <v>7.688334817432203</v>
      </c>
    </row>
    <row r="25" spans="1:21">
      <c r="A25" s="56" t="s">
        <v>329</v>
      </c>
      <c r="B25" s="63">
        <v>1</v>
      </c>
      <c r="C25" s="62" t="s">
        <v>568</v>
      </c>
      <c r="D25" s="62">
        <v>15</v>
      </c>
      <c r="E25" s="53">
        <v>2000</v>
      </c>
      <c r="F25" s="53">
        <v>9</v>
      </c>
      <c r="G25" s="53">
        <v>21</v>
      </c>
      <c r="H25" s="52">
        <f t="shared" si="1"/>
        <v>36790</v>
      </c>
      <c r="I25" s="56">
        <v>21.953399999999998</v>
      </c>
      <c r="J25" s="51">
        <v>-20.998860000000001</v>
      </c>
      <c r="K25" s="57">
        <v>80</v>
      </c>
      <c r="L25" s="60">
        <v>1.3181818181818179</v>
      </c>
      <c r="M25" s="61">
        <v>5.6157446652286858</v>
      </c>
      <c r="N25" s="61">
        <v>3.3234564728557676</v>
      </c>
      <c r="O25" s="61">
        <v>8.9392011380844547</v>
      </c>
      <c r="P25">
        <f t="shared" si="2"/>
        <v>1.0139148148148138E-3</v>
      </c>
      <c r="Q25">
        <f t="shared" si="3"/>
        <v>8.9392011380844544E-3</v>
      </c>
      <c r="R25">
        <f t="shared" si="4"/>
        <v>4.6298127277469216E-2</v>
      </c>
      <c r="S25">
        <v>1.0139148148148138</v>
      </c>
      <c r="T25">
        <v>8.9392011380844547</v>
      </c>
      <c r="U25">
        <v>46.298127277469213</v>
      </c>
    </row>
    <row r="26" spans="1:21">
      <c r="A26" s="56" t="s">
        <v>329</v>
      </c>
      <c r="B26" s="63">
        <v>100</v>
      </c>
      <c r="C26" s="62" t="s">
        <v>569</v>
      </c>
      <c r="D26" s="62">
        <v>16</v>
      </c>
      <c r="E26" s="53">
        <v>2000</v>
      </c>
      <c r="F26" s="53">
        <v>9</v>
      </c>
      <c r="G26" s="53">
        <v>23</v>
      </c>
      <c r="H26" s="52">
        <f t="shared" si="1"/>
        <v>36792</v>
      </c>
      <c r="I26" s="56">
        <v>12.7475</v>
      </c>
      <c r="J26" s="51">
        <v>-20.66442</v>
      </c>
      <c r="K26" s="57">
        <v>4</v>
      </c>
      <c r="L26" s="60">
        <v>0.81</v>
      </c>
      <c r="M26" s="61">
        <v>19.907210836277962</v>
      </c>
      <c r="N26" s="61">
        <v>0.5278643109540665</v>
      </c>
      <c r="O26" s="61">
        <v>20.43507514723203</v>
      </c>
      <c r="P26">
        <f t="shared" si="2"/>
        <v>1.848E-3</v>
      </c>
      <c r="Q26">
        <f t="shared" si="3"/>
        <v>2.0435075147232029E-2</v>
      </c>
      <c r="R26">
        <f t="shared" si="4"/>
        <v>3.3909782937909753E-4</v>
      </c>
      <c r="S26">
        <v>1.8480000000000001</v>
      </c>
      <c r="T26">
        <v>20.43507514723203</v>
      </c>
      <c r="U26">
        <v>0.33909782937909755</v>
      </c>
    </row>
    <row r="27" spans="1:21">
      <c r="A27" s="56" t="s">
        <v>329</v>
      </c>
      <c r="B27" s="56">
        <v>7</v>
      </c>
      <c r="C27" s="62" t="s">
        <v>569</v>
      </c>
      <c r="D27" s="62">
        <v>16</v>
      </c>
      <c r="E27" s="53">
        <v>2000</v>
      </c>
      <c r="F27" s="53">
        <v>9</v>
      </c>
      <c r="G27" s="53">
        <v>23</v>
      </c>
      <c r="H27" s="52">
        <f t="shared" si="1"/>
        <v>36792</v>
      </c>
      <c r="I27" s="56">
        <v>12.7475</v>
      </c>
      <c r="J27" s="51">
        <v>-20.66442</v>
      </c>
      <c r="K27" s="57">
        <v>54</v>
      </c>
      <c r="L27" s="60">
        <v>0.16</v>
      </c>
      <c r="M27" s="61">
        <v>1.8712133939087905</v>
      </c>
      <c r="N27" s="61">
        <v>0.58200954063604315</v>
      </c>
      <c r="O27" s="61">
        <v>2.4532229345448338</v>
      </c>
      <c r="P27">
        <f t="shared" si="2"/>
        <v>1.669066666666667E-3</v>
      </c>
      <c r="Q27">
        <f t="shared" si="3"/>
        <v>2.4532229345448336E-3</v>
      </c>
      <c r="R27">
        <f t="shared" si="4"/>
        <v>7.1450213548712685E-2</v>
      </c>
      <c r="S27">
        <v>1.6690666666666671</v>
      </c>
      <c r="T27">
        <v>2.4532229345448338</v>
      </c>
      <c r="U27">
        <v>71.450213548712682</v>
      </c>
    </row>
    <row r="28" spans="1:21">
      <c r="A28" s="56" t="s">
        <v>329</v>
      </c>
      <c r="B28" s="63">
        <v>1</v>
      </c>
      <c r="C28" s="62" t="s">
        <v>569</v>
      </c>
      <c r="D28" s="62">
        <v>16</v>
      </c>
      <c r="E28" s="53">
        <v>2000</v>
      </c>
      <c r="F28" s="53">
        <v>9</v>
      </c>
      <c r="G28" s="53">
        <v>23</v>
      </c>
      <c r="H28" s="52">
        <f t="shared" si="1"/>
        <v>36792</v>
      </c>
      <c r="I28" s="56">
        <v>12.7475</v>
      </c>
      <c r="J28" s="51">
        <v>-20.66442</v>
      </c>
      <c r="K28" s="57">
        <v>80</v>
      </c>
      <c r="L28" s="60">
        <v>0.01</v>
      </c>
      <c r="M28" s="61">
        <v>7.7738515901060136E-3</v>
      </c>
      <c r="N28" s="61">
        <v>0.19433462897526485</v>
      </c>
      <c r="O28" s="61">
        <v>0.20210848056537087</v>
      </c>
      <c r="P28">
        <f t="shared" si="2"/>
        <v>1.9477333333333337E-4</v>
      </c>
      <c r="Q28">
        <f t="shared" si="3"/>
        <v>2.0210848056537086E-4</v>
      </c>
      <c r="R28">
        <f t="shared" si="4"/>
        <v>0.12079452869257949</v>
      </c>
      <c r="S28">
        <v>0.19477333333333338</v>
      </c>
      <c r="T28">
        <v>0.20210848056537087</v>
      </c>
      <c r="U28">
        <v>120.79452869257949</v>
      </c>
    </row>
    <row r="29" spans="1:21">
      <c r="A29" s="56" t="s">
        <v>330</v>
      </c>
      <c r="B29" s="63">
        <v>100</v>
      </c>
      <c r="C29" s="62" t="s">
        <v>570</v>
      </c>
      <c r="D29" s="62">
        <v>18</v>
      </c>
      <c r="E29" s="53">
        <v>2000</v>
      </c>
      <c r="F29" s="53">
        <v>9</v>
      </c>
      <c r="G29" s="53">
        <v>24</v>
      </c>
      <c r="H29" s="52">
        <f t="shared" si="1"/>
        <v>36793</v>
      </c>
      <c r="I29" s="56">
        <v>8.8198000000000008</v>
      </c>
      <c r="J29" s="51">
        <v>-18.982299999999999</v>
      </c>
      <c r="K29" s="57">
        <v>4</v>
      </c>
      <c r="L29" s="60">
        <v>0.56000000000000005</v>
      </c>
      <c r="M29" s="61">
        <v>15.811491428571335</v>
      </c>
      <c r="N29" s="61">
        <v>1.3779653273232257</v>
      </c>
      <c r="O29" s="61">
        <v>17.189456755894561</v>
      </c>
      <c r="P29">
        <f t="shared" si="2"/>
        <v>2.7771586218800756E-4</v>
      </c>
      <c r="Q29">
        <f t="shared" si="3"/>
        <v>1.7189456755894561E-2</v>
      </c>
      <c r="R29">
        <f t="shared" si="4"/>
        <v>1.9369260755382786E-3</v>
      </c>
      <c r="S29">
        <v>0.27771586218800753</v>
      </c>
      <c r="T29">
        <v>17.189456755894561</v>
      </c>
      <c r="U29">
        <v>1.9369260755382787</v>
      </c>
    </row>
    <row r="30" spans="1:21">
      <c r="A30" s="56" t="s">
        <v>330</v>
      </c>
      <c r="B30" s="56">
        <v>7</v>
      </c>
      <c r="C30" s="62" t="s">
        <v>570</v>
      </c>
      <c r="D30" s="62">
        <v>18</v>
      </c>
      <c r="E30" s="53">
        <v>2000</v>
      </c>
      <c r="F30" s="53">
        <v>9</v>
      </c>
      <c r="G30" s="53">
        <v>24</v>
      </c>
      <c r="H30" s="52">
        <f t="shared" si="1"/>
        <v>36793</v>
      </c>
      <c r="I30" s="56">
        <v>8.8198000000000008</v>
      </c>
      <c r="J30" s="51">
        <v>-18.982299999999999</v>
      </c>
      <c r="K30" s="57">
        <v>48</v>
      </c>
      <c r="L30" s="60">
        <v>0.21</v>
      </c>
      <c r="M30" s="61">
        <v>2.806868831168789</v>
      </c>
      <c r="N30" s="61">
        <v>0.71348028351607096</v>
      </c>
      <c r="O30" s="61">
        <v>3.5203491146848598</v>
      </c>
      <c r="P30">
        <f t="shared" si="2"/>
        <v>1.0709722222222221E-3</v>
      </c>
      <c r="Q30">
        <f t="shared" si="3"/>
        <v>3.5203491146848596E-3</v>
      </c>
      <c r="R30">
        <f t="shared" si="4"/>
        <v>5.4558983413802893E-3</v>
      </c>
      <c r="S30">
        <v>1.070972222222222</v>
      </c>
      <c r="T30">
        <v>3.5203491146848598</v>
      </c>
      <c r="U30">
        <v>5.4558983413802897</v>
      </c>
    </row>
    <row r="31" spans="1:21">
      <c r="A31" s="56" t="s">
        <v>330</v>
      </c>
      <c r="B31" s="63">
        <v>1</v>
      </c>
      <c r="C31" s="62" t="s">
        <v>570</v>
      </c>
      <c r="D31" s="62">
        <v>18</v>
      </c>
      <c r="E31" s="53">
        <v>2000</v>
      </c>
      <c r="F31" s="53">
        <v>9</v>
      </c>
      <c r="G31" s="53">
        <v>24</v>
      </c>
      <c r="H31" s="52">
        <f t="shared" si="1"/>
        <v>36793</v>
      </c>
      <c r="I31" s="56">
        <v>8.8198000000000008</v>
      </c>
      <c r="J31" s="51">
        <v>-18.982299999999999</v>
      </c>
      <c r="K31" s="57">
        <v>90</v>
      </c>
      <c r="L31" s="60">
        <v>0.91</v>
      </c>
      <c r="M31" s="61">
        <v>2.3355082597401444</v>
      </c>
      <c r="N31" s="61">
        <v>2.1874087292661666</v>
      </c>
      <c r="O31" s="61">
        <v>4.522916989006311</v>
      </c>
      <c r="P31">
        <f t="shared" si="2"/>
        <v>1.8621410718178399E-4</v>
      </c>
      <c r="Q31">
        <f t="shared" si="3"/>
        <v>4.522916989006311E-3</v>
      </c>
      <c r="R31">
        <f t="shared" si="4"/>
        <v>3.6450379636363659E-3</v>
      </c>
      <c r="S31">
        <v>0.18621410718178399</v>
      </c>
      <c r="T31">
        <v>4.522916989006311</v>
      </c>
      <c r="U31">
        <v>3.6450379636363657</v>
      </c>
    </row>
    <row r="32" spans="1:21">
      <c r="A32" s="56" t="s">
        <v>330</v>
      </c>
      <c r="B32" s="63">
        <v>100</v>
      </c>
      <c r="C32" s="62" t="s">
        <v>571</v>
      </c>
      <c r="D32" s="62">
        <v>20</v>
      </c>
      <c r="E32" s="53">
        <v>2000</v>
      </c>
      <c r="F32" s="53">
        <v>9</v>
      </c>
      <c r="G32" s="53">
        <v>25</v>
      </c>
      <c r="H32" s="52">
        <f t="shared" si="1"/>
        <v>36794</v>
      </c>
      <c r="I32" s="56">
        <v>5.0998000000000001</v>
      </c>
      <c r="J32" s="51">
        <v>-16.93404</v>
      </c>
      <c r="K32" s="57">
        <v>4</v>
      </c>
      <c r="L32" s="60">
        <v>1.1200000000000001</v>
      </c>
      <c r="M32" s="61">
        <v>20.700499343765724</v>
      </c>
      <c r="N32" s="61">
        <v>9.3896793863785479</v>
      </c>
      <c r="O32" s="61">
        <v>30.090178730144274</v>
      </c>
      <c r="P32">
        <f t="shared" si="2"/>
        <v>1.0908333333333332E-3</v>
      </c>
      <c r="Q32">
        <f t="shared" si="3"/>
        <v>3.0090178730144274E-2</v>
      </c>
      <c r="R32">
        <f t="shared" si="4"/>
        <v>9.8302695834699737E-4</v>
      </c>
      <c r="S32">
        <v>1.0908333333333331</v>
      </c>
      <c r="T32">
        <v>30.090178730144274</v>
      </c>
      <c r="U32">
        <v>0.98302695834699738</v>
      </c>
    </row>
    <row r="33" spans="1:21">
      <c r="A33" s="56" t="s">
        <v>330</v>
      </c>
      <c r="B33" s="56">
        <v>7</v>
      </c>
      <c r="C33" s="62" t="s">
        <v>571</v>
      </c>
      <c r="D33" s="62">
        <v>20</v>
      </c>
      <c r="E33" s="53">
        <v>2000</v>
      </c>
      <c r="F33" s="53">
        <v>9</v>
      </c>
      <c r="G33" s="53">
        <v>25</v>
      </c>
      <c r="H33" s="52">
        <f t="shared" si="1"/>
        <v>36794</v>
      </c>
      <c r="I33" s="56">
        <v>5.0998000000000001</v>
      </c>
      <c r="J33" s="51">
        <v>-16.93404</v>
      </c>
      <c r="K33" s="57">
        <v>40</v>
      </c>
      <c r="L33" s="60">
        <v>0.51</v>
      </c>
      <c r="M33" s="61">
        <v>14.537399293286258</v>
      </c>
      <c r="N33" s="61">
        <v>2.8212815222424683</v>
      </c>
      <c r="O33" s="61">
        <v>17.358680815528725</v>
      </c>
      <c r="P33">
        <f t="shared" si="2"/>
        <v>9.8847222222222218E-4</v>
      </c>
      <c r="Q33">
        <f t="shared" si="3"/>
        <v>1.7358680815528726E-2</v>
      </c>
      <c r="R33">
        <f t="shared" si="4"/>
        <v>1.8069642790457608E-3</v>
      </c>
      <c r="S33">
        <v>0.9884722222222222</v>
      </c>
      <c r="T33">
        <v>17.358680815528725</v>
      </c>
      <c r="U33">
        <v>1.8069642790457607</v>
      </c>
    </row>
    <row r="34" spans="1:21">
      <c r="A34" s="56" t="s">
        <v>330</v>
      </c>
      <c r="B34" s="63">
        <v>1</v>
      </c>
      <c r="C34" s="62" t="s">
        <v>571</v>
      </c>
      <c r="D34" s="62">
        <v>20</v>
      </c>
      <c r="E34" s="53">
        <v>2000</v>
      </c>
      <c r="F34" s="53">
        <v>9</v>
      </c>
      <c r="G34" s="53">
        <v>25</v>
      </c>
      <c r="H34" s="52">
        <f t="shared" si="1"/>
        <v>36794</v>
      </c>
      <c r="I34" s="56">
        <v>5.0998000000000001</v>
      </c>
      <c r="J34" s="51">
        <v>-16.93404</v>
      </c>
      <c r="K34" s="57">
        <v>76</v>
      </c>
      <c r="L34" s="60">
        <v>0.01</v>
      </c>
      <c r="M34" s="61">
        <v>0.78216219081271754</v>
      </c>
      <c r="N34" s="61">
        <v>0.13726122035080723</v>
      </c>
      <c r="O34" s="61">
        <v>0.91942341116352477</v>
      </c>
      <c r="P34">
        <f t="shared" si="2"/>
        <v>7.6388888888888882E-4</v>
      </c>
      <c r="Q34">
        <f t="shared" si="3"/>
        <v>9.1942341116352483E-4</v>
      </c>
      <c r="R34">
        <f t="shared" si="4"/>
        <v>8.6222879858657299E-4</v>
      </c>
      <c r="S34">
        <v>0.76388888888888884</v>
      </c>
      <c r="T34">
        <v>0.91942341116352477</v>
      </c>
      <c r="U34">
        <v>0.86222879858657298</v>
      </c>
    </row>
    <row r="35" spans="1:21">
      <c r="A35" s="56" t="s">
        <v>330</v>
      </c>
      <c r="B35" s="63">
        <v>100</v>
      </c>
      <c r="C35" s="62" t="s">
        <v>572</v>
      </c>
      <c r="D35" s="62">
        <v>22</v>
      </c>
      <c r="E35" s="53">
        <v>2000</v>
      </c>
      <c r="F35" s="53">
        <v>9</v>
      </c>
      <c r="G35" s="53">
        <v>26</v>
      </c>
      <c r="H35" s="52">
        <f t="shared" si="1"/>
        <v>36795</v>
      </c>
      <c r="I35" s="56">
        <v>1.3524</v>
      </c>
      <c r="J35" s="51">
        <v>-14.8857</v>
      </c>
      <c r="K35" s="57">
        <v>4</v>
      </c>
      <c r="L35" s="60">
        <v>0.16</v>
      </c>
      <c r="M35" s="61">
        <v>4.321226568567238</v>
      </c>
      <c r="N35" s="61">
        <v>0.46777916983398571</v>
      </c>
      <c r="O35" s="61">
        <v>4.7890057384012232</v>
      </c>
      <c r="P35">
        <f t="shared" si="2"/>
        <v>3.5550960327443063E-4</v>
      </c>
      <c r="Q35">
        <f t="shared" si="3"/>
        <v>4.7890057384012228E-3</v>
      </c>
      <c r="R35">
        <f t="shared" si="4"/>
        <v>1.3409356671770341E-2</v>
      </c>
      <c r="S35">
        <v>0.35550960327443065</v>
      </c>
      <c r="T35">
        <v>4.7890057384012232</v>
      </c>
      <c r="U35">
        <v>13.409356671770341</v>
      </c>
    </row>
    <row r="36" spans="1:21">
      <c r="A36" s="56" t="s">
        <v>330</v>
      </c>
      <c r="B36" s="56">
        <v>7</v>
      </c>
      <c r="C36" s="62" t="s">
        <v>572</v>
      </c>
      <c r="D36" s="62">
        <v>22</v>
      </c>
      <c r="E36" s="53">
        <v>2000</v>
      </c>
      <c r="F36" s="53">
        <v>9</v>
      </c>
      <c r="G36" s="53">
        <v>26</v>
      </c>
      <c r="H36" s="52">
        <f t="shared" si="1"/>
        <v>36795</v>
      </c>
      <c r="I36" s="56">
        <v>1.3524</v>
      </c>
      <c r="J36" s="51">
        <v>-14.8857</v>
      </c>
      <c r="K36" s="57">
        <v>40</v>
      </c>
      <c r="L36" s="60">
        <v>0.61</v>
      </c>
      <c r="M36" s="61">
        <v>6.9482670651948943</v>
      </c>
      <c r="N36" s="61">
        <v>1.2794795702801556</v>
      </c>
      <c r="O36" s="61">
        <v>8.2277466354750484</v>
      </c>
      <c r="P36">
        <f t="shared" si="2"/>
        <v>2.9585191256830599E-4</v>
      </c>
      <c r="Q36">
        <f t="shared" si="3"/>
        <v>8.2277466354750486E-3</v>
      </c>
      <c r="R36">
        <f t="shared" si="4"/>
        <v>1.9974944354986951E-2</v>
      </c>
      <c r="S36">
        <v>0.29585191256830601</v>
      </c>
      <c r="T36">
        <v>8.2277466354750484</v>
      </c>
      <c r="U36">
        <v>19.974944354986953</v>
      </c>
    </row>
    <row r="37" spans="1:21">
      <c r="A37" s="56" t="s">
        <v>330</v>
      </c>
      <c r="B37" s="63">
        <v>1</v>
      </c>
      <c r="C37" s="62" t="s">
        <v>572</v>
      </c>
      <c r="D37" s="62">
        <v>22</v>
      </c>
      <c r="E37" s="53">
        <v>2000</v>
      </c>
      <c r="F37" s="53">
        <v>9</v>
      </c>
      <c r="G37" s="53">
        <v>26</v>
      </c>
      <c r="H37" s="52">
        <f t="shared" si="1"/>
        <v>36795</v>
      </c>
      <c r="I37" s="56">
        <v>1.3524</v>
      </c>
      <c r="J37" s="51">
        <v>-14.8857</v>
      </c>
      <c r="K37" s="57">
        <v>80</v>
      </c>
      <c r="L37" s="60">
        <v>0.21</v>
      </c>
      <c r="M37" s="61">
        <v>1.3649934191701178</v>
      </c>
      <c r="N37" s="61">
        <v>1.6523897662651488</v>
      </c>
      <c r="O37" s="61">
        <v>3.0173831854352664</v>
      </c>
      <c r="P37">
        <f t="shared" si="2"/>
        <v>6.6526736444000298E-5</v>
      </c>
      <c r="Q37">
        <f t="shared" si="3"/>
        <v>3.0173831854352663E-3</v>
      </c>
      <c r="R37">
        <f t="shared" si="4"/>
        <v>3.9780269849406566E-2</v>
      </c>
      <c r="S37">
        <v>6.6526736444000298E-2</v>
      </c>
      <c r="T37">
        <v>3.0173831854352664</v>
      </c>
      <c r="U37">
        <v>39.780269849406565</v>
      </c>
    </row>
    <row r="38" spans="1:21">
      <c r="A38" s="56" t="s">
        <v>330</v>
      </c>
      <c r="B38" s="63">
        <v>100</v>
      </c>
      <c r="C38" s="62" t="s">
        <v>573</v>
      </c>
      <c r="D38" s="62">
        <v>24</v>
      </c>
      <c r="E38" s="53">
        <v>2000</v>
      </c>
      <c r="F38" s="53">
        <v>9</v>
      </c>
      <c r="G38" s="53">
        <v>27</v>
      </c>
      <c r="H38" s="52">
        <f t="shared" si="1"/>
        <v>36796</v>
      </c>
      <c r="I38" s="56">
        <v>-2.1190000000000002</v>
      </c>
      <c r="J38" s="51">
        <v>-13.13542</v>
      </c>
      <c r="K38" s="57">
        <v>4</v>
      </c>
      <c r="L38" s="60">
        <v>0.41</v>
      </c>
      <c r="M38" s="61">
        <v>5.6967356190475735</v>
      </c>
      <c r="N38" s="61">
        <v>1.1806466467922638</v>
      </c>
      <c r="O38" s="61">
        <v>6.877382265839838</v>
      </c>
      <c r="P38">
        <f t="shared" si="2"/>
        <v>3.7710426503588372E-4</v>
      </c>
      <c r="Q38">
        <f t="shared" si="3"/>
        <v>6.8773822658398385E-3</v>
      </c>
      <c r="R38">
        <f t="shared" si="4"/>
        <v>1.0259114031686389E-2</v>
      </c>
      <c r="S38">
        <v>0.37710426503588373</v>
      </c>
      <c r="T38">
        <v>6.877382265839838</v>
      </c>
      <c r="U38">
        <v>10.259114031686389</v>
      </c>
    </row>
    <row r="39" spans="1:21">
      <c r="A39" s="56" t="s">
        <v>330</v>
      </c>
      <c r="B39" s="56">
        <v>7</v>
      </c>
      <c r="C39" s="62" t="s">
        <v>573</v>
      </c>
      <c r="D39" s="62">
        <v>24</v>
      </c>
      <c r="E39" s="53">
        <v>2000</v>
      </c>
      <c r="F39" s="53">
        <v>9</v>
      </c>
      <c r="G39" s="53">
        <v>27</v>
      </c>
      <c r="H39" s="52">
        <f t="shared" si="1"/>
        <v>36796</v>
      </c>
      <c r="I39" s="56">
        <v>-2.1190000000000002</v>
      </c>
      <c r="J39" s="51">
        <v>-13.13542</v>
      </c>
      <c r="K39" s="57">
        <v>40</v>
      </c>
      <c r="L39" s="60">
        <v>0.71</v>
      </c>
      <c r="M39" s="61">
        <v>4.9015439999999284</v>
      </c>
      <c r="N39" s="61">
        <v>2.0984489252915308</v>
      </c>
      <c r="O39" s="61">
        <v>6.9999929252914601</v>
      </c>
      <c r="P39">
        <f t="shared" si="2"/>
        <v>1.1220000000000002E-3</v>
      </c>
      <c r="Q39">
        <f t="shared" si="3"/>
        <v>6.9999929252914598E-3</v>
      </c>
      <c r="R39">
        <f t="shared" si="4"/>
        <v>8.456336877331265E-3</v>
      </c>
      <c r="S39">
        <v>1.1220000000000001</v>
      </c>
      <c r="T39">
        <v>6.9999929252914601</v>
      </c>
      <c r="U39">
        <v>8.4563368773312657</v>
      </c>
    </row>
    <row r="40" spans="1:21">
      <c r="A40" s="56" t="s">
        <v>330</v>
      </c>
      <c r="B40" s="63">
        <v>1</v>
      </c>
      <c r="C40" s="62" t="s">
        <v>573</v>
      </c>
      <c r="D40" s="62">
        <v>24</v>
      </c>
      <c r="E40" s="53">
        <v>2000</v>
      </c>
      <c r="F40" s="53">
        <v>9</v>
      </c>
      <c r="G40" s="53">
        <v>27</v>
      </c>
      <c r="H40" s="52">
        <f t="shared" si="1"/>
        <v>36796</v>
      </c>
      <c r="I40" s="56">
        <v>-2.1190000000000002</v>
      </c>
      <c r="J40" s="51">
        <v>-13.13542</v>
      </c>
      <c r="K40" s="57">
        <v>100</v>
      </c>
      <c r="L40" s="60">
        <v>0.26</v>
      </c>
      <c r="M40" s="61">
        <v>0.23595714285711891</v>
      </c>
      <c r="N40" s="61">
        <v>0.53085457473472575</v>
      </c>
      <c r="O40" s="61">
        <v>0.76681171759184463</v>
      </c>
      <c r="P40">
        <f t="shared" si="2"/>
        <v>1.8094306646601683E-4</v>
      </c>
      <c r="Q40">
        <f t="shared" si="3"/>
        <v>7.6681171759184462E-4</v>
      </c>
      <c r="R40">
        <f t="shared" si="4"/>
        <v>2.4921959050537436E-2</v>
      </c>
      <c r="S40">
        <v>0.18094306646601682</v>
      </c>
      <c r="T40">
        <v>0.76681171759184463</v>
      </c>
      <c r="U40">
        <v>24.921959050537435</v>
      </c>
    </row>
    <row r="41" spans="1:21">
      <c r="A41" s="56" t="s">
        <v>330</v>
      </c>
      <c r="B41" s="63">
        <v>100</v>
      </c>
      <c r="C41" s="62" t="s">
        <v>574</v>
      </c>
      <c r="D41" s="62">
        <v>26</v>
      </c>
      <c r="E41" s="53">
        <v>2000</v>
      </c>
      <c r="F41" s="53">
        <v>9</v>
      </c>
      <c r="G41" s="53">
        <v>28</v>
      </c>
      <c r="H41" s="52">
        <f t="shared" si="1"/>
        <v>36797</v>
      </c>
      <c r="I41" s="56">
        <v>-1.3587</v>
      </c>
      <c r="J41" s="51">
        <v>-12.72368</v>
      </c>
      <c r="K41" s="57">
        <v>4</v>
      </c>
      <c r="L41" s="60">
        <v>0.81</v>
      </c>
      <c r="M41" s="61">
        <v>23.826210045662194</v>
      </c>
      <c r="N41" s="61">
        <v>3.2962948865352457</v>
      </c>
      <c r="O41" s="61">
        <v>27.12250493219744</v>
      </c>
      <c r="P41">
        <f t="shared" si="2"/>
        <v>6.7271111111111119E-4</v>
      </c>
      <c r="Q41">
        <f t="shared" si="3"/>
        <v>2.7122504932197439E-2</v>
      </c>
      <c r="R41">
        <f t="shared" si="4"/>
        <v>0</v>
      </c>
      <c r="S41">
        <v>0.67271111111111115</v>
      </c>
      <c r="T41">
        <v>27.12250493219744</v>
      </c>
    </row>
    <row r="42" spans="1:21">
      <c r="A42" s="56" t="s">
        <v>330</v>
      </c>
      <c r="B42" s="56">
        <v>7</v>
      </c>
      <c r="C42" s="62" t="s">
        <v>574</v>
      </c>
      <c r="D42" s="62">
        <v>26</v>
      </c>
      <c r="E42" s="53">
        <v>2000</v>
      </c>
      <c r="F42" s="53">
        <v>9</v>
      </c>
      <c r="G42" s="53">
        <v>28</v>
      </c>
      <c r="H42" s="52">
        <f t="shared" si="1"/>
        <v>36797</v>
      </c>
      <c r="I42" s="56">
        <v>-1.3587</v>
      </c>
      <c r="J42" s="51">
        <v>-12.72368</v>
      </c>
      <c r="K42" s="57">
        <v>40</v>
      </c>
      <c r="L42" s="60">
        <v>0.56000000000000005</v>
      </c>
      <c r="M42" s="61">
        <v>4.0454588062622427</v>
      </c>
      <c r="N42" s="61">
        <v>4.8850501368392543</v>
      </c>
      <c r="O42" s="61">
        <v>8.930508943101497</v>
      </c>
      <c r="P42">
        <f t="shared" si="2"/>
        <v>3.0555555555555555E-4</v>
      </c>
      <c r="Q42">
        <f t="shared" si="3"/>
        <v>8.9305089431014964E-3</v>
      </c>
      <c r="R42">
        <f t="shared" si="4"/>
        <v>0</v>
      </c>
      <c r="S42">
        <v>0.30555555555555552</v>
      </c>
      <c r="T42">
        <v>8.930508943101497</v>
      </c>
    </row>
    <row r="43" spans="1:21">
      <c r="A43" s="56" t="s">
        <v>330</v>
      </c>
      <c r="B43" s="63">
        <v>1</v>
      </c>
      <c r="C43" s="62" t="s">
        <v>574</v>
      </c>
      <c r="D43" s="62">
        <v>26</v>
      </c>
      <c r="E43" s="53">
        <v>2000</v>
      </c>
      <c r="F43" s="53">
        <v>9</v>
      </c>
      <c r="G43" s="53">
        <v>28</v>
      </c>
      <c r="H43" s="52">
        <f t="shared" si="1"/>
        <v>36797</v>
      </c>
      <c r="I43" s="56">
        <v>-1.3587</v>
      </c>
      <c r="J43" s="51">
        <v>-12.72368</v>
      </c>
      <c r="K43" s="57">
        <v>70</v>
      </c>
      <c r="L43" s="60">
        <v>0.11</v>
      </c>
      <c r="M43" s="61">
        <v>2.617808219178085E-2</v>
      </c>
      <c r="N43" s="61">
        <v>0.23583392759244642</v>
      </c>
      <c r="O43" s="61">
        <v>0.26201200978422723</v>
      </c>
      <c r="P43">
        <f t="shared" si="2"/>
        <v>3.1989074282704155E-4</v>
      </c>
      <c r="Q43">
        <f t="shared" si="3"/>
        <v>2.6201200978422725E-4</v>
      </c>
      <c r="R43">
        <f t="shared" si="4"/>
        <v>0</v>
      </c>
      <c r="S43">
        <v>0.31989074282704155</v>
      </c>
      <c r="T43">
        <v>0.26201200978422723</v>
      </c>
    </row>
    <row r="44" spans="1:21">
      <c r="A44" s="56" t="s">
        <v>330</v>
      </c>
      <c r="B44" s="63">
        <v>100</v>
      </c>
      <c r="C44" s="62" t="s">
        <v>575</v>
      </c>
      <c r="D44" s="62">
        <v>27</v>
      </c>
      <c r="E44" s="53">
        <v>2000</v>
      </c>
      <c r="F44" s="53">
        <v>9</v>
      </c>
      <c r="G44" s="53">
        <v>29</v>
      </c>
      <c r="H44" s="52">
        <f t="shared" si="1"/>
        <v>36798</v>
      </c>
      <c r="I44" s="56">
        <v>-4.4656000000000002</v>
      </c>
      <c r="J44" s="51">
        <v>-12.629379999999999</v>
      </c>
      <c r="K44" s="57">
        <v>4</v>
      </c>
      <c r="L44" s="60">
        <v>0.46</v>
      </c>
      <c r="M44" s="61">
        <v>6.655375527426175</v>
      </c>
      <c r="N44" s="61">
        <v>2.8120882903873303</v>
      </c>
      <c r="O44" s="61">
        <v>9.4674638178135044</v>
      </c>
      <c r="P44">
        <f t="shared" si="2"/>
        <v>9.4901572314566205E-4</v>
      </c>
      <c r="Q44">
        <f t="shared" si="3"/>
        <v>9.467463817813505E-3</v>
      </c>
      <c r="R44">
        <f t="shared" si="4"/>
        <v>5.8705490958408909E-3</v>
      </c>
      <c r="S44">
        <v>0.94901572314566207</v>
      </c>
      <c r="T44">
        <v>9.4674638178135044</v>
      </c>
      <c r="U44">
        <v>5.8705490958408912</v>
      </c>
    </row>
    <row r="45" spans="1:21">
      <c r="A45" s="56" t="s">
        <v>330</v>
      </c>
      <c r="B45" s="56">
        <v>7</v>
      </c>
      <c r="C45" s="62" t="s">
        <v>575</v>
      </c>
      <c r="D45" s="62">
        <v>27</v>
      </c>
      <c r="E45" s="53">
        <v>2000</v>
      </c>
      <c r="F45" s="53">
        <v>9</v>
      </c>
      <c r="G45" s="53">
        <v>29</v>
      </c>
      <c r="H45" s="52">
        <f t="shared" si="1"/>
        <v>36798</v>
      </c>
      <c r="I45" s="56">
        <v>-4.4656000000000002</v>
      </c>
      <c r="J45" s="51">
        <v>-12.629379999999999</v>
      </c>
      <c r="K45" s="57">
        <v>40</v>
      </c>
      <c r="L45" s="60">
        <v>0.11</v>
      </c>
      <c r="M45" s="61">
        <v>1.1797004746835438</v>
      </c>
      <c r="N45" s="61">
        <v>0.32496835443037975</v>
      </c>
      <c r="O45" s="61">
        <v>1.5046688291139236</v>
      </c>
      <c r="P45">
        <f t="shared" si="2"/>
        <v>5.6501449233496595E-4</v>
      </c>
      <c r="Q45">
        <f t="shared" si="3"/>
        <v>1.5046688291139236E-3</v>
      </c>
      <c r="R45">
        <f t="shared" si="4"/>
        <v>6.9573951876131003E-3</v>
      </c>
      <c r="S45">
        <v>0.56501449233496592</v>
      </c>
      <c r="T45">
        <v>1.5046688291139236</v>
      </c>
      <c r="U45">
        <v>6.9573951876131002</v>
      </c>
    </row>
    <row r="46" spans="1:21">
      <c r="A46" s="56" t="s">
        <v>330</v>
      </c>
      <c r="B46" s="63">
        <v>1</v>
      </c>
      <c r="C46" s="62" t="s">
        <v>575</v>
      </c>
      <c r="D46" s="62">
        <v>27</v>
      </c>
      <c r="E46" s="53">
        <v>2000</v>
      </c>
      <c r="F46" s="53">
        <v>9</v>
      </c>
      <c r="G46" s="53">
        <v>29</v>
      </c>
      <c r="H46" s="52">
        <f t="shared" si="1"/>
        <v>36798</v>
      </c>
      <c r="I46" s="56">
        <v>-4.4656000000000002</v>
      </c>
      <c r="J46" s="51">
        <v>-12.629379999999999</v>
      </c>
      <c r="K46" s="57">
        <v>60</v>
      </c>
      <c r="L46" s="60">
        <v>0.01</v>
      </c>
      <c r="M46" s="61">
        <v>0.25474325191657088</v>
      </c>
      <c r="N46" s="61">
        <v>0.13628164556962025</v>
      </c>
      <c r="O46" s="61">
        <v>0.39102489748619113</v>
      </c>
      <c r="P46">
        <f t="shared" si="2"/>
        <v>6.1886764017873234E-4</v>
      </c>
      <c r="Q46">
        <f t="shared" si="3"/>
        <v>3.9102489748619112E-4</v>
      </c>
      <c r="R46">
        <f t="shared" si="4"/>
        <v>1.6127676279193844E-3</v>
      </c>
      <c r="S46">
        <v>0.6188676401787323</v>
      </c>
      <c r="T46">
        <v>0.39102489748619113</v>
      </c>
      <c r="U46">
        <v>1.6127676279193843</v>
      </c>
    </row>
    <row r="47" spans="1:21">
      <c r="A47" s="56" t="s">
        <v>330</v>
      </c>
      <c r="B47" s="63">
        <v>100</v>
      </c>
      <c r="C47" s="62" t="s">
        <v>576</v>
      </c>
      <c r="D47" s="62">
        <v>29</v>
      </c>
      <c r="E47" s="53">
        <v>2000</v>
      </c>
      <c r="F47" s="53">
        <v>9</v>
      </c>
      <c r="G47" s="53">
        <v>30</v>
      </c>
      <c r="H47" s="52">
        <f t="shared" si="1"/>
        <v>36799</v>
      </c>
      <c r="I47" s="56">
        <v>-8.0202000000000009</v>
      </c>
      <c r="J47" s="51">
        <v>-14.83942</v>
      </c>
      <c r="K47" s="57">
        <v>4</v>
      </c>
      <c r="L47" s="60">
        <v>0.86</v>
      </c>
      <c r="M47" s="61">
        <v>9.0167600201917679</v>
      </c>
      <c r="N47" s="61">
        <v>7.600431088821078</v>
      </c>
      <c r="O47" s="61">
        <v>16.617191109012847</v>
      </c>
      <c r="P47">
        <f t="shared" si="2"/>
        <v>5.7030042918454938E-4</v>
      </c>
      <c r="Q47">
        <f t="shared" si="3"/>
        <v>1.6617191109012847E-2</v>
      </c>
      <c r="R47">
        <f t="shared" si="4"/>
        <v>4.5805548023000986E-4</v>
      </c>
      <c r="S47">
        <v>0.57030042918454937</v>
      </c>
      <c r="T47">
        <v>16.617191109012847</v>
      </c>
      <c r="U47">
        <v>0.45805548023000986</v>
      </c>
    </row>
    <row r="48" spans="1:21">
      <c r="A48" s="56" t="s">
        <v>330</v>
      </c>
      <c r="B48" s="56">
        <v>7</v>
      </c>
      <c r="C48" s="62" t="s">
        <v>576</v>
      </c>
      <c r="D48" s="62">
        <v>29</v>
      </c>
      <c r="E48" s="53">
        <v>2000</v>
      </c>
      <c r="F48" s="53">
        <v>9</v>
      </c>
      <c r="G48" s="53">
        <v>30</v>
      </c>
      <c r="H48" s="52">
        <f t="shared" si="1"/>
        <v>36799</v>
      </c>
      <c r="I48" s="56">
        <v>-8.0202000000000009</v>
      </c>
      <c r="J48" s="51">
        <v>-14.83942</v>
      </c>
      <c r="K48" s="57">
        <v>40</v>
      </c>
      <c r="L48" s="60">
        <v>0.21</v>
      </c>
      <c r="M48" s="61">
        <v>6.3383357395255153</v>
      </c>
      <c r="N48" s="61">
        <v>2.3486746339127862</v>
      </c>
      <c r="O48" s="61">
        <v>8.6870103734383015</v>
      </c>
      <c r="P48">
        <f t="shared" si="2"/>
        <v>6.9304721030042922E-4</v>
      </c>
      <c r="Q48">
        <f t="shared" si="3"/>
        <v>8.6870103734383013E-3</v>
      </c>
      <c r="R48">
        <f t="shared" si="4"/>
        <v>1.2978256891589301E-3</v>
      </c>
      <c r="S48">
        <v>0.69304721030042926</v>
      </c>
      <c r="T48">
        <v>8.6870103734383015</v>
      </c>
      <c r="U48">
        <v>1.2978256891589302</v>
      </c>
    </row>
    <row r="49" spans="1:21">
      <c r="A49" s="56" t="s">
        <v>330</v>
      </c>
      <c r="B49" s="63">
        <v>1</v>
      </c>
      <c r="C49" s="62" t="s">
        <v>576</v>
      </c>
      <c r="D49" s="62">
        <v>29</v>
      </c>
      <c r="E49" s="53">
        <v>2000</v>
      </c>
      <c r="F49" s="53">
        <v>9</v>
      </c>
      <c r="G49" s="53">
        <v>30</v>
      </c>
      <c r="H49" s="52">
        <f t="shared" si="1"/>
        <v>36799</v>
      </c>
      <c r="I49" s="56">
        <v>-8.0202000000000009</v>
      </c>
      <c r="J49" s="51">
        <v>-14.83942</v>
      </c>
      <c r="K49" s="57">
        <v>60</v>
      </c>
      <c r="L49" s="60">
        <v>0.76</v>
      </c>
      <c r="M49" s="61">
        <v>1.6566178697627658</v>
      </c>
      <c r="N49" s="61">
        <v>3.469348051008903</v>
      </c>
      <c r="O49" s="61">
        <v>5.1259659207716686</v>
      </c>
      <c r="P49">
        <f t="shared" si="2"/>
        <v>1.5541667473279897E-4</v>
      </c>
      <c r="Q49">
        <f t="shared" si="3"/>
        <v>5.1259659207716687E-3</v>
      </c>
      <c r="R49">
        <f t="shared" si="4"/>
        <v>3.466488944977412E-4</v>
      </c>
      <c r="S49">
        <v>0.15541667473279897</v>
      </c>
      <c r="T49">
        <v>5.1259659207716686</v>
      </c>
      <c r="U49">
        <v>0.34664889449774122</v>
      </c>
    </row>
    <row r="50" spans="1:21">
      <c r="A50" s="56" t="s">
        <v>331</v>
      </c>
      <c r="B50" s="63">
        <v>100</v>
      </c>
      <c r="C50" s="62" t="s">
        <v>577</v>
      </c>
      <c r="D50" s="62">
        <v>31</v>
      </c>
      <c r="E50" s="53">
        <v>2000</v>
      </c>
      <c r="F50" s="53">
        <v>10</v>
      </c>
      <c r="G50" s="53">
        <v>1</v>
      </c>
      <c r="H50" s="52">
        <f t="shared" si="1"/>
        <v>36800</v>
      </c>
      <c r="I50" s="56">
        <v>-10.9011</v>
      </c>
      <c r="J50" s="51">
        <v>-18.245000000000001</v>
      </c>
      <c r="K50" s="57">
        <v>4</v>
      </c>
      <c r="L50" s="60">
        <v>0.31</v>
      </c>
      <c r="M50" s="61">
        <v>8.7136608342561921</v>
      </c>
      <c r="N50" s="61">
        <v>2.002997632569953</v>
      </c>
      <c r="O50" s="61">
        <v>10.716658466826145</v>
      </c>
      <c r="P50">
        <f t="shared" si="2"/>
        <v>1.14675E-3</v>
      </c>
      <c r="Q50">
        <f t="shared" si="3"/>
        <v>1.0716658466826144E-2</v>
      </c>
      <c r="R50">
        <f t="shared" si="4"/>
        <v>1.3593439052549702E-3</v>
      </c>
      <c r="S50">
        <v>1.1467499999999999</v>
      </c>
      <c r="T50">
        <v>10.716658466826145</v>
      </c>
      <c r="U50">
        <v>1.3593439052549703</v>
      </c>
    </row>
    <row r="51" spans="1:21">
      <c r="A51" s="56" t="s">
        <v>331</v>
      </c>
      <c r="B51" s="56">
        <v>7</v>
      </c>
      <c r="C51" s="62" t="s">
        <v>577</v>
      </c>
      <c r="D51" s="62">
        <v>31</v>
      </c>
      <c r="E51" s="53">
        <v>2000</v>
      </c>
      <c r="F51" s="53">
        <v>10</v>
      </c>
      <c r="G51" s="53">
        <v>1</v>
      </c>
      <c r="H51" s="52">
        <f t="shared" si="1"/>
        <v>36800</v>
      </c>
      <c r="I51" s="56">
        <v>-10.9011</v>
      </c>
      <c r="J51" s="51">
        <v>-18.245000000000001</v>
      </c>
      <c r="K51" s="57">
        <v>55</v>
      </c>
      <c r="L51" s="60">
        <v>0.01</v>
      </c>
      <c r="M51" s="61">
        <v>0.92442107788851835</v>
      </c>
      <c r="N51" s="61">
        <v>0.79482511441943682</v>
      </c>
      <c r="O51" s="61">
        <v>1.7192461923079552</v>
      </c>
      <c r="P51">
        <f t="shared" si="2"/>
        <v>7.5460000000000013E-4</v>
      </c>
      <c r="Q51">
        <f t="shared" si="3"/>
        <v>1.7192461923079552E-3</v>
      </c>
      <c r="R51">
        <f t="shared" si="4"/>
        <v>9.2397314453844547E-4</v>
      </c>
      <c r="S51">
        <v>0.75460000000000016</v>
      </c>
      <c r="T51">
        <v>1.7192461923079552</v>
      </c>
      <c r="U51">
        <v>0.92397314453844548</v>
      </c>
    </row>
    <row r="52" spans="1:21">
      <c r="A52" s="56" t="s">
        <v>331</v>
      </c>
      <c r="B52" s="63">
        <v>1</v>
      </c>
      <c r="C52" s="62" t="s">
        <v>577</v>
      </c>
      <c r="D52" s="62">
        <v>31</v>
      </c>
      <c r="E52" s="53">
        <v>2000</v>
      </c>
      <c r="F52" s="53">
        <v>10</v>
      </c>
      <c r="G52" s="53">
        <v>1</v>
      </c>
      <c r="H52" s="52">
        <f t="shared" si="1"/>
        <v>36800</v>
      </c>
      <c r="I52" s="56">
        <v>-10.9011</v>
      </c>
      <c r="J52" s="51">
        <v>-18.245000000000001</v>
      </c>
      <c r="K52" s="57">
        <v>105</v>
      </c>
      <c r="L52" s="60">
        <v>0.26</v>
      </c>
      <c r="M52" s="61">
        <v>3.0823950166112759</v>
      </c>
      <c r="N52" s="61">
        <v>1.3214606800291784</v>
      </c>
      <c r="O52" s="61">
        <v>4.4038556966404547</v>
      </c>
      <c r="P52">
        <f t="shared" si="2"/>
        <v>3.8756129805920701E-4</v>
      </c>
      <c r="Q52">
        <f t="shared" si="3"/>
        <v>4.4038556966404544E-3</v>
      </c>
      <c r="R52">
        <f t="shared" si="4"/>
        <v>2.3659661792770636E-2</v>
      </c>
      <c r="S52">
        <v>0.38756129805920703</v>
      </c>
      <c r="T52">
        <v>4.4038556966404547</v>
      </c>
      <c r="U52">
        <v>23.659661792770635</v>
      </c>
    </row>
    <row r="53" spans="1:21">
      <c r="A53" s="56" t="s">
        <v>331</v>
      </c>
      <c r="B53" s="63">
        <v>100</v>
      </c>
      <c r="C53" s="62" t="s">
        <v>578</v>
      </c>
      <c r="D53" s="62">
        <v>33</v>
      </c>
      <c r="E53" s="53">
        <v>2000</v>
      </c>
      <c r="F53" s="53">
        <v>10</v>
      </c>
      <c r="G53" s="53">
        <v>2</v>
      </c>
      <c r="H53" s="52">
        <f t="shared" si="1"/>
        <v>36801</v>
      </c>
      <c r="I53" s="56">
        <v>-13.6653</v>
      </c>
      <c r="J53" s="51">
        <v>-21.565000000000001</v>
      </c>
      <c r="K53" s="57">
        <v>4</v>
      </c>
      <c r="L53" s="60">
        <v>0.46</v>
      </c>
      <c r="M53" s="61">
        <v>8.2855500588928521</v>
      </c>
      <c r="N53" s="61">
        <v>1.4505447279659622</v>
      </c>
      <c r="O53" s="61">
        <v>9.7360947868588124</v>
      </c>
      <c r="P53">
        <f t="shared" si="2"/>
        <v>9.0786666666666676E-4</v>
      </c>
      <c r="Q53">
        <f t="shared" si="3"/>
        <v>9.7360947868588132E-3</v>
      </c>
      <c r="R53">
        <f t="shared" si="4"/>
        <v>3.6588070156541683E-4</v>
      </c>
      <c r="S53">
        <v>0.90786666666666671</v>
      </c>
      <c r="T53">
        <v>9.7360947868588124</v>
      </c>
      <c r="U53">
        <v>0.36588070156541685</v>
      </c>
    </row>
    <row r="54" spans="1:21">
      <c r="A54" s="56" t="s">
        <v>331</v>
      </c>
      <c r="B54" s="56">
        <v>7</v>
      </c>
      <c r="C54" s="62" t="s">
        <v>578</v>
      </c>
      <c r="D54" s="62">
        <v>33</v>
      </c>
      <c r="E54" s="53">
        <v>2000</v>
      </c>
      <c r="F54" s="53">
        <v>10</v>
      </c>
      <c r="G54" s="53">
        <v>2</v>
      </c>
      <c r="H54" s="52">
        <f t="shared" si="1"/>
        <v>36801</v>
      </c>
      <c r="I54" s="56">
        <v>-13.6653</v>
      </c>
      <c r="J54" s="51">
        <v>-21.565000000000001</v>
      </c>
      <c r="K54" s="57">
        <v>70</v>
      </c>
      <c r="L54" s="60">
        <v>0.11</v>
      </c>
      <c r="M54" s="61">
        <v>4.2064805653710309</v>
      </c>
      <c r="N54" s="61">
        <v>0.5275751042077016</v>
      </c>
      <c r="O54" s="61">
        <v>4.7340556695787317</v>
      </c>
      <c r="P54">
        <f t="shared" si="2"/>
        <v>7.7330271866198617E-4</v>
      </c>
      <c r="Q54">
        <f t="shared" si="3"/>
        <v>4.7340556695787319E-3</v>
      </c>
      <c r="R54">
        <f t="shared" si="4"/>
        <v>6.9965997830158562E-4</v>
      </c>
      <c r="S54">
        <v>0.77330271866198619</v>
      </c>
      <c r="T54">
        <v>4.7340556695787317</v>
      </c>
      <c r="U54">
        <v>0.69965997830158566</v>
      </c>
    </row>
    <row r="55" spans="1:21">
      <c r="A55" s="56" t="s">
        <v>331</v>
      </c>
      <c r="B55" s="63">
        <v>1</v>
      </c>
      <c r="C55" s="62" t="s">
        <v>578</v>
      </c>
      <c r="D55" s="62">
        <v>33</v>
      </c>
      <c r="E55" s="53">
        <v>2000</v>
      </c>
      <c r="F55" s="53">
        <v>10</v>
      </c>
      <c r="G55" s="53">
        <v>2</v>
      </c>
      <c r="H55" s="52">
        <f t="shared" si="1"/>
        <v>36801</v>
      </c>
      <c r="I55" s="56">
        <v>-13.6653</v>
      </c>
      <c r="J55" s="51">
        <v>-21.565000000000001</v>
      </c>
      <c r="K55" s="57">
        <v>125</v>
      </c>
      <c r="L55" s="60">
        <v>0.91</v>
      </c>
      <c r="M55" s="61">
        <v>9.8643979135117412</v>
      </c>
      <c r="N55" s="61">
        <v>2.9328933977628422</v>
      </c>
      <c r="O55" s="61">
        <v>12.797291311274583</v>
      </c>
      <c r="P55">
        <f t="shared" si="2"/>
        <v>4.5403937668601533E-4</v>
      </c>
      <c r="Q55">
        <f t="shared" si="3"/>
        <v>1.2797291311274583E-2</v>
      </c>
      <c r="R55">
        <f t="shared" si="4"/>
        <v>6.1266417634207862E-5</v>
      </c>
      <c r="S55">
        <v>0.45403937668601535</v>
      </c>
      <c r="T55">
        <v>12.797291311274583</v>
      </c>
      <c r="U55">
        <v>6.1266417634207863E-2</v>
      </c>
    </row>
    <row r="56" spans="1:21">
      <c r="A56" s="56" t="s">
        <v>331</v>
      </c>
      <c r="B56" s="63">
        <v>100</v>
      </c>
      <c r="C56" s="62" t="s">
        <v>579</v>
      </c>
      <c r="D56" s="62">
        <v>35</v>
      </c>
      <c r="E56" s="53">
        <v>2000</v>
      </c>
      <c r="F56" s="53">
        <v>10</v>
      </c>
      <c r="G56" s="53">
        <v>3</v>
      </c>
      <c r="H56" s="52">
        <f t="shared" si="1"/>
        <v>36802</v>
      </c>
      <c r="I56" s="56">
        <v>-16.427</v>
      </c>
      <c r="J56" s="51">
        <v>-24.908000000000001</v>
      </c>
      <c r="K56" s="57">
        <v>4</v>
      </c>
      <c r="L56" s="60">
        <v>0.01</v>
      </c>
      <c r="M56" s="61"/>
      <c r="N56" s="61">
        <v>0.27693499620919476</v>
      </c>
      <c r="O56" s="61"/>
      <c r="P56">
        <f t="shared" si="2"/>
        <v>8.0697528374825702E-4</v>
      </c>
      <c r="Q56">
        <f t="shared" si="3"/>
        <v>0</v>
      </c>
      <c r="R56">
        <f t="shared" si="4"/>
        <v>0</v>
      </c>
      <c r="S56">
        <v>0.806975283748257</v>
      </c>
    </row>
    <row r="57" spans="1:21">
      <c r="A57" s="56" t="s">
        <v>331</v>
      </c>
      <c r="B57" s="56">
        <v>7</v>
      </c>
      <c r="C57" s="62" t="s">
        <v>579</v>
      </c>
      <c r="D57" s="62">
        <v>35</v>
      </c>
      <c r="E57" s="53">
        <v>2000</v>
      </c>
      <c r="F57" s="53">
        <v>10</v>
      </c>
      <c r="G57" s="53">
        <v>3</v>
      </c>
      <c r="H57" s="52">
        <f t="shared" si="1"/>
        <v>36802</v>
      </c>
      <c r="I57" s="56">
        <v>-16.427</v>
      </c>
      <c r="J57" s="51">
        <v>-24.908000000000001</v>
      </c>
      <c r="K57" s="57">
        <v>70</v>
      </c>
      <c r="L57" s="60">
        <v>0.31</v>
      </c>
      <c r="M57" s="61"/>
      <c r="N57" s="61">
        <v>1.5020028255023539</v>
      </c>
      <c r="O57" s="61"/>
      <c r="P57">
        <f t="shared" si="2"/>
        <v>5.0187864650338054E-4</v>
      </c>
      <c r="Q57">
        <f t="shared" si="3"/>
        <v>0</v>
      </c>
      <c r="R57">
        <f t="shared" si="4"/>
        <v>0</v>
      </c>
      <c r="S57">
        <v>0.50187864650338054</v>
      </c>
    </row>
    <row r="58" spans="1:21">
      <c r="A58" s="56" t="s">
        <v>331</v>
      </c>
      <c r="B58" s="63">
        <v>1</v>
      </c>
      <c r="C58" s="62" t="s">
        <v>579</v>
      </c>
      <c r="D58" s="62">
        <v>35</v>
      </c>
      <c r="E58" s="53">
        <v>2000</v>
      </c>
      <c r="F58" s="53">
        <v>10</v>
      </c>
      <c r="G58" s="53">
        <v>3</v>
      </c>
      <c r="H58" s="52">
        <f t="shared" si="1"/>
        <v>36802</v>
      </c>
      <c r="I58" s="56">
        <v>-16.427</v>
      </c>
      <c r="J58" s="51">
        <v>-24.908000000000001</v>
      </c>
      <c r="K58" s="57">
        <v>160</v>
      </c>
      <c r="L58" s="60">
        <v>0.71</v>
      </c>
      <c r="M58" s="61"/>
      <c r="N58" s="61">
        <v>1.3319491140801119</v>
      </c>
      <c r="O58" s="61"/>
      <c r="P58">
        <f t="shared" si="2"/>
        <v>2.8908616030044992E-4</v>
      </c>
      <c r="Q58">
        <f t="shared" si="3"/>
        <v>0</v>
      </c>
      <c r="R58">
        <f t="shared" si="4"/>
        <v>0</v>
      </c>
      <c r="S58">
        <v>0.28908616030044992</v>
      </c>
    </row>
    <row r="59" spans="1:21">
      <c r="A59" s="56" t="s">
        <v>331</v>
      </c>
      <c r="B59" s="63">
        <v>100</v>
      </c>
      <c r="C59" s="62" t="s">
        <v>580</v>
      </c>
      <c r="D59" s="62">
        <v>37</v>
      </c>
      <c r="E59" s="53">
        <v>2000</v>
      </c>
      <c r="F59" s="53">
        <v>10</v>
      </c>
      <c r="G59" s="53">
        <v>4</v>
      </c>
      <c r="H59" s="52">
        <f t="shared" si="1"/>
        <v>36803</v>
      </c>
      <c r="I59" s="56">
        <v>-19.127300000000002</v>
      </c>
      <c r="J59" s="51">
        <v>-28.244</v>
      </c>
      <c r="K59" s="57">
        <v>4</v>
      </c>
      <c r="L59" s="60">
        <v>0.11</v>
      </c>
      <c r="M59" s="61">
        <v>1.2761978798586364</v>
      </c>
      <c r="N59" s="61">
        <v>0.30343703355278373</v>
      </c>
      <c r="O59" s="61">
        <v>1.5796349134114203</v>
      </c>
      <c r="P59">
        <f t="shared" si="2"/>
        <v>1.2633746583626821E-4</v>
      </c>
      <c r="Q59">
        <f t="shared" si="3"/>
        <v>1.5796349134114202E-3</v>
      </c>
      <c r="R59">
        <f t="shared" si="4"/>
        <v>4.7529486791188114E-5</v>
      </c>
      <c r="S59">
        <v>0.1263374658362682</v>
      </c>
      <c r="T59">
        <v>1.5796349134114203</v>
      </c>
      <c r="U59">
        <v>4.7529486791188111E-2</v>
      </c>
    </row>
    <row r="60" spans="1:21">
      <c r="A60" s="56" t="s">
        <v>331</v>
      </c>
      <c r="B60" s="56">
        <v>7</v>
      </c>
      <c r="C60" s="62" t="s">
        <v>580</v>
      </c>
      <c r="D60" s="62">
        <v>37</v>
      </c>
      <c r="E60" s="53">
        <v>2000</v>
      </c>
      <c r="F60" s="53">
        <v>10</v>
      </c>
      <c r="G60" s="53">
        <v>4</v>
      </c>
      <c r="H60" s="52">
        <f t="shared" si="1"/>
        <v>36803</v>
      </c>
      <c r="I60" s="56">
        <v>-19.127300000000002</v>
      </c>
      <c r="J60" s="51">
        <v>-28.244</v>
      </c>
      <c r="K60" s="57">
        <v>80</v>
      </c>
      <c r="L60" s="60">
        <v>0.26</v>
      </c>
      <c r="M60" s="61">
        <v>4.1901510348308717</v>
      </c>
      <c r="N60" s="61">
        <v>0.79665361354249498</v>
      </c>
      <c r="O60" s="61">
        <v>4.9868046483733668</v>
      </c>
      <c r="P60">
        <f t="shared" si="2"/>
        <v>1.0332556418407395E-4</v>
      </c>
      <c r="Q60">
        <f t="shared" si="3"/>
        <v>4.9868046483733672E-3</v>
      </c>
      <c r="R60">
        <f t="shared" si="4"/>
        <v>5.401395498166806E-4</v>
      </c>
      <c r="S60">
        <v>0.10332556418407395</v>
      </c>
      <c r="T60">
        <v>4.9868046483733668</v>
      </c>
      <c r="U60">
        <v>0.54013954981668055</v>
      </c>
    </row>
    <row r="61" spans="1:21">
      <c r="A61" s="56" t="s">
        <v>331</v>
      </c>
      <c r="B61" s="63">
        <v>1</v>
      </c>
      <c r="C61" s="62" t="s">
        <v>580</v>
      </c>
      <c r="D61" s="62">
        <v>37</v>
      </c>
      <c r="E61" s="53">
        <v>2000</v>
      </c>
      <c r="F61" s="53">
        <v>10</v>
      </c>
      <c r="G61" s="53">
        <v>4</v>
      </c>
      <c r="H61" s="52">
        <f t="shared" si="1"/>
        <v>36803</v>
      </c>
      <c r="I61" s="56">
        <v>-19.127300000000002</v>
      </c>
      <c r="J61" s="51">
        <v>-28.244</v>
      </c>
      <c r="K61" s="57">
        <v>150</v>
      </c>
      <c r="L61" s="60">
        <v>0.31</v>
      </c>
      <c r="M61" s="61">
        <v>1.7643659767793858</v>
      </c>
      <c r="N61" s="61">
        <v>0.90688262648817586</v>
      </c>
      <c r="O61" s="61">
        <v>2.6712486032675615</v>
      </c>
      <c r="P61">
        <f t="shared" si="2"/>
        <v>7.7393513029699651E-5</v>
      </c>
      <c r="Q61">
        <f t="shared" si="3"/>
        <v>2.6712486032675615E-3</v>
      </c>
      <c r="R61">
        <f t="shared" si="4"/>
        <v>1.124273283530751E-3</v>
      </c>
      <c r="S61">
        <v>7.7393513029699657E-2</v>
      </c>
      <c r="T61">
        <v>2.6712486032675615</v>
      </c>
      <c r="U61">
        <v>1.124273283530751</v>
      </c>
    </row>
    <row r="62" spans="1:21">
      <c r="A62" s="56" t="s">
        <v>331</v>
      </c>
      <c r="B62" s="63">
        <v>100</v>
      </c>
      <c r="C62" s="62" t="s">
        <v>581</v>
      </c>
      <c r="D62" s="62">
        <v>39</v>
      </c>
      <c r="E62" s="53">
        <v>2000</v>
      </c>
      <c r="F62" s="53">
        <v>10</v>
      </c>
      <c r="G62" s="53">
        <v>5</v>
      </c>
      <c r="H62" s="52">
        <f t="shared" si="1"/>
        <v>36804</v>
      </c>
      <c r="I62" s="56">
        <v>-21.744399999999999</v>
      </c>
      <c r="J62" s="51">
        <v>-31.515999999999998</v>
      </c>
      <c r="K62" s="57">
        <v>4</v>
      </c>
      <c r="L62" s="60">
        <v>0.01</v>
      </c>
      <c r="M62" s="61">
        <v>1.0467691065118516</v>
      </c>
      <c r="N62" s="61">
        <v>0.88202214707589854</v>
      </c>
      <c r="O62" s="61">
        <v>1.9287912535877503</v>
      </c>
      <c r="P62">
        <f t="shared" si="2"/>
        <v>1.0783700772796754E-3</v>
      </c>
      <c r="Q62">
        <f t="shared" si="3"/>
        <v>1.9287912535877502E-3</v>
      </c>
      <c r="R62">
        <f t="shared" si="4"/>
        <v>4.527298670705542E-5</v>
      </c>
      <c r="S62">
        <v>1.0783700772796754</v>
      </c>
      <c r="T62">
        <v>1.9287912535877503</v>
      </c>
      <c r="U62">
        <v>4.5272986707055422E-2</v>
      </c>
    </row>
    <row r="63" spans="1:21">
      <c r="A63" s="56" t="s">
        <v>331</v>
      </c>
      <c r="B63" s="56">
        <v>7</v>
      </c>
      <c r="C63" s="62" t="s">
        <v>581</v>
      </c>
      <c r="D63" s="62">
        <v>39</v>
      </c>
      <c r="E63" s="53">
        <v>2000</v>
      </c>
      <c r="F63" s="53">
        <v>10</v>
      </c>
      <c r="G63" s="53">
        <v>5</v>
      </c>
      <c r="H63" s="52">
        <f t="shared" si="1"/>
        <v>36804</v>
      </c>
      <c r="I63" s="56">
        <v>-21.744399999999999</v>
      </c>
      <c r="J63" s="51">
        <v>-31.515999999999998</v>
      </c>
      <c r="K63" s="57">
        <v>80</v>
      </c>
      <c r="L63" s="60">
        <v>0.16</v>
      </c>
      <c r="M63" s="61">
        <v>4.6219495204442085</v>
      </c>
      <c r="N63" s="61">
        <v>1.7202341979614493</v>
      </c>
      <c r="O63" s="61">
        <v>6.342183718405658</v>
      </c>
      <c r="P63">
        <f t="shared" si="2"/>
        <v>1.1775027268344999E-3</v>
      </c>
      <c r="Q63">
        <f t="shared" si="3"/>
        <v>6.3421837184056582E-3</v>
      </c>
      <c r="R63">
        <f t="shared" si="4"/>
        <v>7.8145775197870884E-4</v>
      </c>
      <c r="S63">
        <v>1.1775027268345</v>
      </c>
      <c r="T63">
        <v>6.342183718405658</v>
      </c>
      <c r="U63">
        <v>0.78145775197870881</v>
      </c>
    </row>
    <row r="64" spans="1:21">
      <c r="A64" s="56" t="s">
        <v>331</v>
      </c>
      <c r="B64" s="63">
        <v>1</v>
      </c>
      <c r="C64" s="62" t="s">
        <v>581</v>
      </c>
      <c r="D64" s="62">
        <v>39</v>
      </c>
      <c r="E64" s="53">
        <v>2000</v>
      </c>
      <c r="F64" s="53">
        <v>10</v>
      </c>
      <c r="G64" s="53">
        <v>5</v>
      </c>
      <c r="H64" s="52">
        <f t="shared" si="1"/>
        <v>36804</v>
      </c>
      <c r="I64" s="56">
        <v>-21.744399999999999</v>
      </c>
      <c r="J64" s="51">
        <v>-31.515999999999998</v>
      </c>
      <c r="K64" s="57">
        <v>130</v>
      </c>
      <c r="L64" s="60">
        <v>0.12</v>
      </c>
      <c r="M64" s="61">
        <v>0.91271680969206681</v>
      </c>
      <c r="N64" s="61">
        <v>1.7949143733019144</v>
      </c>
      <c r="O64" s="61">
        <v>2.7076311829939814</v>
      </c>
      <c r="P64">
        <f t="shared" si="2"/>
        <v>1.1673092749250507E-3</v>
      </c>
      <c r="Q64">
        <f t="shared" si="3"/>
        <v>2.7076311829939814E-3</v>
      </c>
      <c r="R64">
        <f t="shared" si="4"/>
        <v>5.2901578898768625E-4</v>
      </c>
      <c r="S64">
        <v>1.1673092749250507</v>
      </c>
      <c r="T64">
        <v>2.7076311829939814</v>
      </c>
      <c r="U64">
        <v>0.5290157889876862</v>
      </c>
    </row>
    <row r="65" spans="1:21">
      <c r="A65" s="56" t="s">
        <v>332</v>
      </c>
      <c r="B65" s="63">
        <v>100</v>
      </c>
      <c r="C65" s="62" t="s">
        <v>582</v>
      </c>
      <c r="D65" s="62">
        <v>41</v>
      </c>
      <c r="E65" s="53">
        <v>2000</v>
      </c>
      <c r="F65" s="53">
        <v>10</v>
      </c>
      <c r="G65" s="53">
        <v>6</v>
      </c>
      <c r="H65" s="52">
        <f t="shared" si="1"/>
        <v>36805</v>
      </c>
      <c r="I65" s="56">
        <v>-24.594999999999999</v>
      </c>
      <c r="J65" s="51">
        <v>-35.148000000000003</v>
      </c>
      <c r="K65" s="57">
        <v>4</v>
      </c>
      <c r="L65" s="60">
        <v>0.01</v>
      </c>
      <c r="M65" s="61">
        <v>1.2094243647989318</v>
      </c>
      <c r="N65" s="61">
        <v>0.24635540338021511</v>
      </c>
      <c r="O65" s="61">
        <v>1.4557797681791467</v>
      </c>
      <c r="P65">
        <f t="shared" si="2"/>
        <v>6.0169974748257435E-4</v>
      </c>
      <c r="Q65">
        <f t="shared" si="3"/>
        <v>1.4557797681791467E-3</v>
      </c>
      <c r="R65">
        <f t="shared" si="4"/>
        <v>1.1089632979976553E-3</v>
      </c>
      <c r="S65">
        <v>0.60169974748257438</v>
      </c>
      <c r="T65">
        <v>1.4557797681791467</v>
      </c>
      <c r="U65">
        <v>1.1089632979976554</v>
      </c>
    </row>
    <row r="66" spans="1:21">
      <c r="A66" s="56" t="s">
        <v>332</v>
      </c>
      <c r="B66" s="56">
        <v>7</v>
      </c>
      <c r="C66" s="62" t="s">
        <v>582</v>
      </c>
      <c r="D66" s="62">
        <v>41</v>
      </c>
      <c r="E66" s="53">
        <v>2000</v>
      </c>
      <c r="F66" s="53">
        <v>10</v>
      </c>
      <c r="G66" s="53">
        <v>6</v>
      </c>
      <c r="H66" s="52">
        <f t="shared" si="1"/>
        <v>36805</v>
      </c>
      <c r="I66" s="56">
        <v>-24.594999999999999</v>
      </c>
      <c r="J66" s="51">
        <v>-35.148000000000003</v>
      </c>
      <c r="K66" s="57">
        <v>75</v>
      </c>
      <c r="L66" s="60">
        <v>0.16</v>
      </c>
      <c r="M66" s="61">
        <v>0.31814278983680033</v>
      </c>
      <c r="N66" s="61">
        <v>0.39872791519434636</v>
      </c>
      <c r="O66" s="61">
        <v>0.71687070503114658</v>
      </c>
      <c r="P66">
        <f t="shared" si="2"/>
        <v>2.4998503117312304E-4</v>
      </c>
      <c r="Q66">
        <f t="shared" si="3"/>
        <v>7.1687070503114662E-4</v>
      </c>
      <c r="R66">
        <f t="shared" si="4"/>
        <v>4.1671749957933535E-4</v>
      </c>
      <c r="S66">
        <v>0.24998503117312304</v>
      </c>
      <c r="T66">
        <v>0.71687070503114658</v>
      </c>
      <c r="U66">
        <v>0.41671749957933535</v>
      </c>
    </row>
    <row r="67" spans="1:21">
      <c r="A67" s="56" t="s">
        <v>332</v>
      </c>
      <c r="B67" s="63">
        <v>1</v>
      </c>
      <c r="C67" s="62" t="s">
        <v>582</v>
      </c>
      <c r="D67" s="62">
        <v>41</v>
      </c>
      <c r="E67" s="53">
        <v>2000</v>
      </c>
      <c r="F67" s="53">
        <v>10</v>
      </c>
      <c r="G67" s="53">
        <v>6</v>
      </c>
      <c r="H67" s="52">
        <f t="shared" ref="H67:H76" si="5">DATE(E67,F67,G67)</f>
        <v>36805</v>
      </c>
      <c r="I67" s="56">
        <v>-24.594999999999999</v>
      </c>
      <c r="J67" s="51">
        <v>-35.148000000000003</v>
      </c>
      <c r="K67" s="57">
        <v>120</v>
      </c>
      <c r="L67" s="60">
        <v>0.51</v>
      </c>
      <c r="M67" s="61">
        <v>1.2620728588255403</v>
      </c>
      <c r="N67" s="61">
        <v>1.2867335689045929</v>
      </c>
      <c r="O67" s="61">
        <v>2.5488064277301334</v>
      </c>
      <c r="P67">
        <f t="shared" ref="P67:P76" si="6">S67/1000</f>
        <v>3.56775332452338E-4</v>
      </c>
      <c r="Q67">
        <f t="shared" ref="Q67:Q76" si="7">T67/1000</f>
        <v>2.5488064277301332E-3</v>
      </c>
      <c r="R67">
        <f t="shared" ref="R67:R76" si="8">U67/1000</f>
        <v>1.5384805653710256E-5</v>
      </c>
      <c r="S67">
        <v>0.356775332452338</v>
      </c>
      <c r="T67">
        <v>2.5488064277301334</v>
      </c>
      <c r="U67">
        <v>1.5384805653710256E-2</v>
      </c>
    </row>
    <row r="68" spans="1:21">
      <c r="A68" s="56" t="s">
        <v>332</v>
      </c>
      <c r="B68" s="63">
        <v>100</v>
      </c>
      <c r="C68" s="62" t="s">
        <v>583</v>
      </c>
      <c r="D68" s="62">
        <v>43</v>
      </c>
      <c r="E68" s="53">
        <v>2000</v>
      </c>
      <c r="F68" s="53">
        <v>10</v>
      </c>
      <c r="G68" s="53">
        <v>7</v>
      </c>
      <c r="H68" s="52">
        <f t="shared" si="5"/>
        <v>36806</v>
      </c>
      <c r="I68" s="56">
        <v>-27.320499999999999</v>
      </c>
      <c r="J68" s="51">
        <v>-38.700000000000003</v>
      </c>
      <c r="K68" s="57">
        <v>4</v>
      </c>
      <c r="L68" s="60">
        <v>0.36</v>
      </c>
      <c r="M68" s="61">
        <v>6.8223038869258223</v>
      </c>
      <c r="N68" s="61">
        <v>1.3618801801251292</v>
      </c>
      <c r="O68" s="61">
        <v>8.1841840670509516</v>
      </c>
      <c r="P68">
        <f t="shared" si="6"/>
        <v>8.256824074074074E-4</v>
      </c>
      <c r="Q68">
        <f t="shared" si="7"/>
        <v>8.1841840670509522E-3</v>
      </c>
      <c r="R68">
        <f t="shared" si="8"/>
        <v>1.1145434443135462E-3</v>
      </c>
      <c r="S68">
        <v>0.82568240740740739</v>
      </c>
      <c r="T68">
        <v>8.1841840670509516</v>
      </c>
      <c r="U68">
        <v>1.1145434443135462</v>
      </c>
    </row>
    <row r="69" spans="1:21">
      <c r="A69" s="56" t="s">
        <v>332</v>
      </c>
      <c r="B69" s="56">
        <v>7</v>
      </c>
      <c r="C69" s="62" t="s">
        <v>583</v>
      </c>
      <c r="D69" s="62">
        <v>43</v>
      </c>
      <c r="E69" s="53">
        <v>2000</v>
      </c>
      <c r="F69" s="53">
        <v>10</v>
      </c>
      <c r="G69" s="53">
        <v>7</v>
      </c>
      <c r="H69" s="52">
        <f t="shared" si="5"/>
        <v>36806</v>
      </c>
      <c r="I69" s="56">
        <v>-27.320499999999999</v>
      </c>
      <c r="J69" s="51">
        <v>-38.700000000000003</v>
      </c>
      <c r="K69" s="57">
        <v>65</v>
      </c>
      <c r="L69" s="60">
        <v>0.36</v>
      </c>
      <c r="M69" s="61">
        <v>10.176017364967224</v>
      </c>
      <c r="N69" s="61">
        <v>2.8283632261622373</v>
      </c>
      <c r="O69" s="61">
        <v>13.004380591129461</v>
      </c>
      <c r="P69">
        <f t="shared" si="6"/>
        <v>1.0755555555555557E-3</v>
      </c>
      <c r="Q69">
        <f t="shared" si="7"/>
        <v>1.3004380591129461E-2</v>
      </c>
      <c r="R69">
        <f t="shared" si="8"/>
        <v>1.8620404118226755E-3</v>
      </c>
      <c r="S69">
        <v>1.0755555555555558</v>
      </c>
      <c r="T69">
        <v>13.004380591129461</v>
      </c>
      <c r="U69">
        <v>1.8620404118226754</v>
      </c>
    </row>
    <row r="70" spans="1:21">
      <c r="A70" s="56" t="s">
        <v>332</v>
      </c>
      <c r="B70" s="63">
        <v>1</v>
      </c>
      <c r="C70" s="62" t="s">
        <v>583</v>
      </c>
      <c r="D70" s="62">
        <v>43</v>
      </c>
      <c r="E70" s="53">
        <v>2000</v>
      </c>
      <c r="F70" s="53">
        <v>10</v>
      </c>
      <c r="G70" s="53">
        <v>7</v>
      </c>
      <c r="H70" s="52">
        <f t="shared" si="5"/>
        <v>36806</v>
      </c>
      <c r="I70" s="56">
        <v>-27.320499999999999</v>
      </c>
      <c r="J70" s="51">
        <v>-38.700000000000003</v>
      </c>
      <c r="K70" s="57">
        <v>100</v>
      </c>
      <c r="L70" s="60">
        <v>0.41</v>
      </c>
      <c r="M70" s="61">
        <v>5.6484083291267249</v>
      </c>
      <c r="N70" s="61">
        <v>2.0545555016856119</v>
      </c>
      <c r="O70" s="61">
        <v>7.7029638308123367</v>
      </c>
      <c r="P70">
        <f t="shared" si="6"/>
        <v>6.9652425720843458E-4</v>
      </c>
      <c r="Q70">
        <f t="shared" si="7"/>
        <v>7.7029638308123366E-3</v>
      </c>
      <c r="R70">
        <f t="shared" si="8"/>
        <v>6.0054072790802584E-4</v>
      </c>
      <c r="S70">
        <v>0.69652425720843458</v>
      </c>
      <c r="T70">
        <v>7.7029638308123367</v>
      </c>
      <c r="U70">
        <v>0.60054072790802582</v>
      </c>
    </row>
    <row r="71" spans="1:21">
      <c r="A71" s="56" t="s">
        <v>332</v>
      </c>
      <c r="B71" s="63">
        <v>100</v>
      </c>
      <c r="C71" s="62" t="s">
        <v>584</v>
      </c>
      <c r="D71" s="62">
        <v>45</v>
      </c>
      <c r="E71" s="53">
        <v>2000</v>
      </c>
      <c r="F71" s="53">
        <v>10</v>
      </c>
      <c r="G71" s="53">
        <v>8</v>
      </c>
      <c r="H71" s="52">
        <f t="shared" si="5"/>
        <v>36807</v>
      </c>
      <c r="I71" s="56">
        <v>-30.086600000000001</v>
      </c>
      <c r="J71" s="51">
        <v>-42.37</v>
      </c>
      <c r="K71" s="57">
        <v>4</v>
      </c>
      <c r="L71" s="60">
        <v>0.71</v>
      </c>
      <c r="M71" s="61">
        <v>8.3878465359828418</v>
      </c>
      <c r="N71" s="61">
        <v>4.7461805427139261</v>
      </c>
      <c r="O71" s="61">
        <v>13.134027078696768</v>
      </c>
      <c r="P71">
        <f t="shared" si="6"/>
        <v>7.202793074588174E-4</v>
      </c>
      <c r="Q71">
        <f t="shared" si="7"/>
        <v>1.3134027078696767E-2</v>
      </c>
      <c r="R71">
        <f t="shared" si="8"/>
        <v>1.4272469073300003E-3</v>
      </c>
      <c r="S71">
        <v>0.72027930745881741</v>
      </c>
      <c r="T71">
        <v>13.134027078696768</v>
      </c>
      <c r="U71">
        <v>1.4272469073300003</v>
      </c>
    </row>
    <row r="72" spans="1:21">
      <c r="A72" s="56" t="s">
        <v>332</v>
      </c>
      <c r="B72" s="56">
        <v>7</v>
      </c>
      <c r="C72" s="62" t="s">
        <v>584</v>
      </c>
      <c r="D72" s="62">
        <v>45</v>
      </c>
      <c r="E72" s="53">
        <v>2000</v>
      </c>
      <c r="F72" s="53">
        <v>10</v>
      </c>
      <c r="G72" s="53">
        <v>8</v>
      </c>
      <c r="H72" s="52">
        <f t="shared" si="5"/>
        <v>36807</v>
      </c>
      <c r="I72" s="56">
        <v>-30.086600000000001</v>
      </c>
      <c r="J72" s="51">
        <v>-42.37</v>
      </c>
      <c r="K72" s="57">
        <v>50</v>
      </c>
      <c r="L72" s="60">
        <v>0.76</v>
      </c>
      <c r="M72" s="61">
        <v>16.765947869674207</v>
      </c>
      <c r="N72" s="61">
        <v>3.649502201892159</v>
      </c>
      <c r="O72" s="61">
        <v>20.415450071566365</v>
      </c>
      <c r="P72">
        <f t="shared" si="6"/>
        <v>5.1082810218315436E-4</v>
      </c>
      <c r="Q72">
        <f t="shared" si="7"/>
        <v>2.0415450071566366E-2</v>
      </c>
      <c r="R72">
        <f t="shared" si="8"/>
        <v>2.4783751739413436E-3</v>
      </c>
      <c r="S72">
        <v>0.51082810218315433</v>
      </c>
      <c r="T72">
        <v>20.415450071566365</v>
      </c>
      <c r="U72">
        <v>2.4783751739413438</v>
      </c>
    </row>
    <row r="73" spans="1:21">
      <c r="A73" s="56" t="s">
        <v>332</v>
      </c>
      <c r="B73" s="63">
        <v>1</v>
      </c>
      <c r="C73" s="62" t="s">
        <v>584</v>
      </c>
      <c r="D73" s="62">
        <v>45</v>
      </c>
      <c r="E73" s="53">
        <v>2000</v>
      </c>
      <c r="F73" s="53">
        <v>10</v>
      </c>
      <c r="G73" s="53">
        <v>8</v>
      </c>
      <c r="H73" s="52">
        <f t="shared" si="5"/>
        <v>36807</v>
      </c>
      <c r="I73" s="56">
        <v>-30.086600000000001</v>
      </c>
      <c r="J73" s="51">
        <v>-42.37</v>
      </c>
      <c r="K73" s="57">
        <v>85</v>
      </c>
      <c r="L73" s="60">
        <v>0.31</v>
      </c>
      <c r="M73" s="61">
        <v>2.3607074829932171</v>
      </c>
      <c r="N73" s="61">
        <v>0.8955397871823555</v>
      </c>
      <c r="O73" s="61">
        <v>3.2562472701755727</v>
      </c>
      <c r="P73">
        <f t="shared" si="6"/>
        <v>2.1230036897093731E-4</v>
      </c>
      <c r="Q73">
        <f t="shared" si="7"/>
        <v>3.2562472701755728E-3</v>
      </c>
      <c r="R73">
        <f t="shared" si="8"/>
        <v>1.2159169172932132E-3</v>
      </c>
      <c r="S73">
        <v>0.21230036897093732</v>
      </c>
      <c r="T73">
        <v>3.2562472701755727</v>
      </c>
      <c r="U73">
        <v>1.2159169172932132</v>
      </c>
    </row>
    <row r="74" spans="1:21">
      <c r="A74" s="56" t="s">
        <v>332</v>
      </c>
      <c r="B74" s="63">
        <v>100</v>
      </c>
      <c r="C74" s="62" t="s">
        <v>585</v>
      </c>
      <c r="D74" s="62">
        <v>46</v>
      </c>
      <c r="E74" s="53">
        <v>2000</v>
      </c>
      <c r="F74" s="53">
        <v>10</v>
      </c>
      <c r="G74" s="53">
        <v>9</v>
      </c>
      <c r="H74" s="52">
        <f t="shared" si="5"/>
        <v>36808</v>
      </c>
      <c r="I74" s="56">
        <v>-33.145000000000003</v>
      </c>
      <c r="J74" s="51">
        <v>-46.5976</v>
      </c>
      <c r="K74" s="57">
        <v>4</v>
      </c>
      <c r="L74" s="60">
        <v>0.61</v>
      </c>
      <c r="M74" s="61">
        <v>14.604417482061363</v>
      </c>
      <c r="N74" s="61">
        <v>4.6975739939112486</v>
      </c>
      <c r="O74" s="61">
        <v>19.301991475972613</v>
      </c>
      <c r="P74">
        <f t="shared" si="6"/>
        <v>1.3668831779620294E-3</v>
      </c>
      <c r="Q74">
        <f t="shared" si="7"/>
        <v>1.9301991475972613E-2</v>
      </c>
      <c r="R74">
        <f t="shared" si="8"/>
        <v>3.4138400200434517E-3</v>
      </c>
      <c r="S74">
        <v>1.3668831779620294</v>
      </c>
      <c r="T74">
        <v>19.301991475972613</v>
      </c>
      <c r="U74">
        <v>3.4138400200434518</v>
      </c>
    </row>
    <row r="75" spans="1:21">
      <c r="A75" s="56" t="s">
        <v>332</v>
      </c>
      <c r="B75" s="56">
        <v>7</v>
      </c>
      <c r="C75" s="62" t="s">
        <v>585</v>
      </c>
      <c r="D75" s="62">
        <v>46</v>
      </c>
      <c r="E75" s="53">
        <v>2000</v>
      </c>
      <c r="F75" s="53">
        <v>10</v>
      </c>
      <c r="G75" s="53">
        <v>9</v>
      </c>
      <c r="H75" s="52">
        <f t="shared" si="5"/>
        <v>36808</v>
      </c>
      <c r="I75" s="56">
        <v>-33.145000000000003</v>
      </c>
      <c r="J75" s="51">
        <v>-46.5976</v>
      </c>
      <c r="K75" s="57">
        <v>60</v>
      </c>
      <c r="L75" s="60">
        <v>1.07</v>
      </c>
      <c r="M75" s="61">
        <v>18.248306066536298</v>
      </c>
      <c r="N75" s="61">
        <v>5.3709073963659684</v>
      </c>
      <c r="O75" s="61">
        <v>23.619213462902266</v>
      </c>
      <c r="P75">
        <f t="shared" si="6"/>
        <v>6.5236111111111105E-4</v>
      </c>
      <c r="Q75">
        <f t="shared" si="7"/>
        <v>2.3619213462902265E-2</v>
      </c>
      <c r="R75">
        <f t="shared" si="8"/>
        <v>2.1618260983257091E-3</v>
      </c>
      <c r="S75">
        <v>0.65236111111111106</v>
      </c>
      <c r="T75">
        <v>23.619213462902266</v>
      </c>
      <c r="U75">
        <v>2.1618260983257089</v>
      </c>
    </row>
    <row r="76" spans="1:21">
      <c r="A76" s="56" t="s">
        <v>332</v>
      </c>
      <c r="B76" s="63">
        <v>1</v>
      </c>
      <c r="C76" s="62" t="s">
        <v>585</v>
      </c>
      <c r="D76" s="62">
        <v>46</v>
      </c>
      <c r="E76" s="53">
        <v>2000</v>
      </c>
      <c r="F76" s="53">
        <v>10</v>
      </c>
      <c r="G76" s="53">
        <v>9</v>
      </c>
      <c r="H76" s="52">
        <f t="shared" si="5"/>
        <v>36808</v>
      </c>
      <c r="I76" s="56">
        <v>-33.145000000000003</v>
      </c>
      <c r="J76" s="51">
        <v>-46.5976</v>
      </c>
      <c r="K76" s="57">
        <v>90</v>
      </c>
      <c r="L76" s="60">
        <v>0.06</v>
      </c>
      <c r="M76" s="61">
        <v>1.2143484670580631</v>
      </c>
      <c r="N76" s="61">
        <v>8.8177562350199259E-2</v>
      </c>
      <c r="O76" s="61">
        <v>1.3025260294082623</v>
      </c>
      <c r="P76">
        <f t="shared" si="6"/>
        <v>3.0676901628648695E-4</v>
      </c>
      <c r="Q76">
        <f t="shared" si="7"/>
        <v>1.3025260294082623E-3</v>
      </c>
      <c r="R76">
        <f t="shared" si="8"/>
        <v>1.0238800184240684E-2</v>
      </c>
      <c r="S76">
        <v>0.30676901628648695</v>
      </c>
      <c r="T76">
        <v>1.3025260294082623</v>
      </c>
      <c r="U76">
        <v>10.238800184240684</v>
      </c>
    </row>
  </sheetData>
  <phoneticPr fontId="2"/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7741-5E8F-E842-AF64-22DA101692B8}">
  <dimension ref="A1:J262"/>
  <sheetViews>
    <sheetView topLeftCell="A229" workbookViewId="0">
      <selection activeCell="H242" sqref="H242"/>
    </sheetView>
  </sheetViews>
  <sheetFormatPr baseColWidth="10" defaultRowHeight="20"/>
  <cols>
    <col min="5" max="5" width="13" bestFit="1" customWidth="1"/>
  </cols>
  <sheetData>
    <row r="1" spans="1:10">
      <c r="A1" t="s">
        <v>419</v>
      </c>
      <c r="B1" t="s">
        <v>4</v>
      </c>
      <c r="C1" t="s">
        <v>5</v>
      </c>
      <c r="D1" t="s">
        <v>383</v>
      </c>
      <c r="E1" s="10" t="s">
        <v>53</v>
      </c>
      <c r="F1" s="8" t="s">
        <v>52</v>
      </c>
      <c r="G1" s="7" t="s">
        <v>421</v>
      </c>
      <c r="H1" s="65" t="s">
        <v>601</v>
      </c>
      <c r="I1" s="65" t="s">
        <v>602</v>
      </c>
      <c r="J1" s="65" t="s">
        <v>603</v>
      </c>
    </row>
    <row r="2" spans="1:10">
      <c r="A2" s="54">
        <v>37878</v>
      </c>
      <c r="B2" s="51">
        <v>48.383000000000003</v>
      </c>
      <c r="C2" s="51">
        <v>-9.8674999999999997</v>
      </c>
      <c r="D2" s="51">
        <v>0</v>
      </c>
      <c r="E2">
        <f>H2/1000</f>
        <v>3.6672773567939513E-5</v>
      </c>
      <c r="F2">
        <f t="shared" ref="F2" si="0">I2/1000</f>
        <v>9.1819424711448946E-4</v>
      </c>
      <c r="G2">
        <f t="shared" ref="G2" si="1">J2/1000</f>
        <v>4.5350179189861909E-4</v>
      </c>
      <c r="H2" s="66">
        <v>3.6672773567939514E-2</v>
      </c>
      <c r="I2" s="66">
        <v>0.91819424711448949</v>
      </c>
      <c r="J2" s="66">
        <v>0.45350179189861911</v>
      </c>
    </row>
    <row r="3" spans="1:10">
      <c r="A3" s="54">
        <v>37878</v>
      </c>
      <c r="B3" s="51">
        <v>48.383000000000003</v>
      </c>
      <c r="C3" s="51">
        <v>-9.8674999999999997</v>
      </c>
      <c r="D3" s="51">
        <v>6</v>
      </c>
      <c r="E3">
        <f t="shared" ref="E3:E17" si="2">H3/1000</f>
        <v>2.463972569343627E-3</v>
      </c>
      <c r="F3">
        <f t="shared" ref="F3:F17" si="3">I3/1000</f>
        <v>1.1611663085901742E-2</v>
      </c>
      <c r="G3">
        <f t="shared" ref="G3:G66" si="4">J3/1000</f>
        <v>2.3113301529890276E-3</v>
      </c>
      <c r="H3" s="66">
        <v>2.463972569343627</v>
      </c>
      <c r="I3" s="66">
        <v>11.611663085901743</v>
      </c>
      <c r="J3" s="66">
        <v>2.3113301529890276</v>
      </c>
    </row>
    <row r="4" spans="1:10">
      <c r="A4" s="54">
        <v>37878</v>
      </c>
      <c r="B4" s="51">
        <v>48.383000000000003</v>
      </c>
      <c r="C4" s="51">
        <v>-9.8674999999999997</v>
      </c>
      <c r="D4" s="51">
        <v>9.8000000000000007</v>
      </c>
      <c r="E4">
        <f t="shared" si="2"/>
        <v>9.8118244879067177E-5</v>
      </c>
      <c r="F4">
        <f t="shared" si="3"/>
        <v>1.0537014674858189E-2</v>
      </c>
      <c r="G4">
        <f t="shared" si="4"/>
        <v>1.5323860354081148E-3</v>
      </c>
      <c r="H4" s="66">
        <v>9.8118244879067174E-2</v>
      </c>
      <c r="I4" s="66">
        <v>10.53701467485819</v>
      </c>
      <c r="J4" s="66">
        <v>1.5323860354081147</v>
      </c>
    </row>
    <row r="5" spans="1:10">
      <c r="A5" s="54">
        <v>37878</v>
      </c>
      <c r="B5" s="51">
        <v>48.383000000000003</v>
      </c>
      <c r="C5" s="51">
        <v>-9.8674999999999997</v>
      </c>
      <c r="D5" s="51">
        <v>20.399999999999999</v>
      </c>
      <c r="E5">
        <f t="shared" si="2"/>
        <v>2.1113719856622487E-4</v>
      </c>
      <c r="F5">
        <f t="shared" si="3"/>
        <v>1.1309269115463783E-2</v>
      </c>
      <c r="G5">
        <f t="shared" si="4"/>
        <v>2.4071952377592355E-3</v>
      </c>
      <c r="H5" s="66">
        <v>0.21113719856622487</v>
      </c>
      <c r="I5" s="66">
        <v>11.309269115463783</v>
      </c>
      <c r="J5" s="66">
        <v>2.4071952377592356</v>
      </c>
    </row>
    <row r="6" spans="1:10">
      <c r="A6" s="54">
        <v>37878</v>
      </c>
      <c r="B6" s="51">
        <v>48.383000000000003</v>
      </c>
      <c r="C6" s="51">
        <v>-9.8674999999999997</v>
      </c>
      <c r="D6" s="51">
        <v>35.700000000000003</v>
      </c>
      <c r="E6">
        <f t="shared" si="2"/>
        <v>2.3949306174912304E-3</v>
      </c>
      <c r="F6">
        <f t="shared" si="3"/>
        <v>9.1380573902490447E-3</v>
      </c>
      <c r="G6">
        <f t="shared" si="4"/>
        <v>9.0615034210666363E-4</v>
      </c>
      <c r="H6" s="66">
        <v>2.3949306174912306</v>
      </c>
      <c r="I6" s="66">
        <v>9.1380573902490454</v>
      </c>
      <c r="J6" s="66">
        <v>0.90615034210666368</v>
      </c>
    </row>
    <row r="7" spans="1:10">
      <c r="A7" s="54">
        <v>37878</v>
      </c>
      <c r="B7" s="51">
        <v>48.383000000000003</v>
      </c>
      <c r="C7" s="51">
        <v>-9.8674999999999997</v>
      </c>
      <c r="D7" s="51">
        <v>60.2</v>
      </c>
      <c r="E7">
        <f t="shared" si="2"/>
        <v>1.1622638577960193E-3</v>
      </c>
      <c r="F7">
        <f t="shared" si="3"/>
        <v>2.0519903604624455E-3</v>
      </c>
      <c r="G7">
        <f t="shared" si="4"/>
        <v>2.1577667191859948E-3</v>
      </c>
      <c r="H7" s="66">
        <v>1.1622638577960194</v>
      </c>
      <c r="I7" s="66">
        <v>2.0519903604624457</v>
      </c>
      <c r="J7" s="66">
        <v>2.1577667191859948</v>
      </c>
    </row>
    <row r="8" spans="1:10">
      <c r="A8" s="54">
        <v>37882</v>
      </c>
      <c r="B8" s="51">
        <v>38.166699999999999</v>
      </c>
      <c r="C8" s="51">
        <v>-24.700600000000001</v>
      </c>
      <c r="D8" s="51">
        <v>8.1999999999999993</v>
      </c>
      <c r="E8">
        <f t="shared" si="2"/>
        <v>2.4765304076852105E-3</v>
      </c>
      <c r="F8">
        <f t="shared" si="3"/>
        <v>6.8696247990045227E-3</v>
      </c>
      <c r="G8">
        <f t="shared" si="4"/>
        <v>4.2789824974310739E-4</v>
      </c>
      <c r="H8" s="66">
        <v>2.4765304076852104</v>
      </c>
      <c r="I8" s="66">
        <v>6.8696247990045229</v>
      </c>
      <c r="J8" s="66">
        <v>0.42789824974310742</v>
      </c>
    </row>
    <row r="9" spans="1:10">
      <c r="A9" s="54">
        <v>37882</v>
      </c>
      <c r="B9" s="51">
        <v>38.166699999999999</v>
      </c>
      <c r="C9" s="51">
        <v>-24.700600000000001</v>
      </c>
      <c r="D9" s="51">
        <v>15.3</v>
      </c>
      <c r="E9">
        <f t="shared" si="2"/>
        <v>1.9900908528635926E-3</v>
      </c>
      <c r="F9">
        <f t="shared" si="3"/>
        <v>8.7589727728813217E-3</v>
      </c>
      <c r="G9">
        <f t="shared" si="4"/>
        <v>4.4544477701512523E-4</v>
      </c>
      <c r="H9" s="66">
        <v>1.9900908528635926</v>
      </c>
      <c r="I9" s="66">
        <v>8.7589727728813216</v>
      </c>
      <c r="J9" s="66">
        <v>0.44544477701512525</v>
      </c>
    </row>
    <row r="10" spans="1:10">
      <c r="A10" s="54">
        <v>37882</v>
      </c>
      <c r="B10" s="51">
        <v>38.166699999999999</v>
      </c>
      <c r="C10" s="51">
        <v>-24.700600000000001</v>
      </c>
      <c r="D10" s="51">
        <v>26.4</v>
      </c>
      <c r="E10">
        <f t="shared" si="2"/>
        <v>2.1581515088681716E-3</v>
      </c>
      <c r="F10">
        <f t="shared" si="3"/>
        <v>7.1465764946146417E-3</v>
      </c>
      <c r="G10">
        <f t="shared" si="4"/>
        <v>3.8582866029497555E-4</v>
      </c>
      <c r="H10" s="66">
        <v>2.1581515088681718</v>
      </c>
      <c r="I10" s="66">
        <v>7.1465764946146422</v>
      </c>
      <c r="J10" s="66">
        <v>0.38582866029497553</v>
      </c>
    </row>
    <row r="11" spans="1:10">
      <c r="A11" s="54">
        <v>37882</v>
      </c>
      <c r="B11" s="51">
        <v>38.166699999999999</v>
      </c>
      <c r="C11" s="51">
        <v>-24.700600000000001</v>
      </c>
      <c r="D11" s="51">
        <v>60</v>
      </c>
      <c r="E11">
        <f t="shared" si="2"/>
        <v>1.7225559292320077E-3</v>
      </c>
      <c r="F11">
        <f t="shared" si="3"/>
        <v>2.5852556652358281E-3</v>
      </c>
      <c r="G11">
        <f t="shared" si="4"/>
        <v>2.4742717229639783E-3</v>
      </c>
      <c r="H11" s="66">
        <v>1.7225559292320076</v>
      </c>
      <c r="I11" s="66">
        <v>2.5852556652358283</v>
      </c>
      <c r="J11" s="66">
        <v>2.4742717229639783</v>
      </c>
    </row>
    <row r="12" spans="1:10">
      <c r="A12" s="54">
        <v>37882</v>
      </c>
      <c r="B12" s="51">
        <v>38.166699999999999</v>
      </c>
      <c r="C12" s="51">
        <v>-24.700600000000001</v>
      </c>
      <c r="D12" s="51">
        <v>90.8</v>
      </c>
      <c r="E12">
        <f t="shared" si="2"/>
        <v>1.0864353105817369E-3</v>
      </c>
      <c r="F12">
        <f t="shared" si="3"/>
        <v>9.0989771351089328E-4</v>
      </c>
      <c r="G12">
        <f t="shared" si="4"/>
        <v>2.5966140455050205E-3</v>
      </c>
      <c r="H12" s="66">
        <v>1.086435310581737</v>
      </c>
      <c r="I12" s="66">
        <v>0.90989771351089332</v>
      </c>
      <c r="J12" s="66">
        <v>2.5966140455050204</v>
      </c>
    </row>
    <row r="13" spans="1:10">
      <c r="A13" s="54">
        <v>37886</v>
      </c>
      <c r="B13" s="51">
        <v>21.9618</v>
      </c>
      <c r="C13" s="51">
        <v>-20.630199999999999</v>
      </c>
      <c r="D13" s="51">
        <v>5.9</v>
      </c>
      <c r="E13">
        <f t="shared" si="2"/>
        <v>1.3975643592893476E-3</v>
      </c>
      <c r="F13">
        <f t="shared" si="3"/>
        <v>2.3263751678498729E-2</v>
      </c>
      <c r="G13">
        <f t="shared" si="4"/>
        <v>1.6498371652387978E-3</v>
      </c>
      <c r="H13" s="66">
        <v>1.3975643592893476</v>
      </c>
      <c r="I13" s="66">
        <v>23.263751678498728</v>
      </c>
      <c r="J13" s="66">
        <v>1.6498371652387978</v>
      </c>
    </row>
    <row r="14" spans="1:10">
      <c r="A14" s="54">
        <v>37886</v>
      </c>
      <c r="B14" s="51">
        <v>21.9618</v>
      </c>
      <c r="C14" s="51">
        <v>-20.630199999999999</v>
      </c>
      <c r="D14" s="51">
        <v>11.3</v>
      </c>
      <c r="F14">
        <f t="shared" si="3"/>
        <v>2.0710713511685606E-2</v>
      </c>
      <c r="G14">
        <f t="shared" si="4"/>
        <v>2.0308316662924456E-3</v>
      </c>
      <c r="H14" s="66" t="s">
        <v>600</v>
      </c>
      <c r="I14" s="66">
        <v>20.710713511685604</v>
      </c>
      <c r="J14" s="66">
        <v>2.0308316662924457</v>
      </c>
    </row>
    <row r="15" spans="1:10">
      <c r="A15" s="54">
        <v>37886</v>
      </c>
      <c r="B15" s="51">
        <v>21.9618</v>
      </c>
      <c r="C15" s="51">
        <v>-20.630199999999999</v>
      </c>
      <c r="D15" s="51">
        <v>19.2</v>
      </c>
      <c r="E15">
        <f t="shared" si="2"/>
        <v>1.8723517146774686E-3</v>
      </c>
      <c r="F15">
        <f t="shared" si="3"/>
        <v>2.9189048858634301E-2</v>
      </c>
      <c r="G15">
        <f t="shared" si="4"/>
        <v>1.5751274787003165E-3</v>
      </c>
      <c r="H15" s="66">
        <v>1.8723517146774686</v>
      </c>
      <c r="I15" s="66">
        <v>29.189048858634301</v>
      </c>
      <c r="J15" s="66">
        <v>1.5751274787003164</v>
      </c>
    </row>
    <row r="16" spans="1:10">
      <c r="A16" s="54">
        <v>37886</v>
      </c>
      <c r="B16" s="51">
        <v>21.9618</v>
      </c>
      <c r="C16" s="51">
        <v>-20.630199999999999</v>
      </c>
      <c r="D16" s="51">
        <v>43</v>
      </c>
      <c r="E16">
        <f t="shared" si="2"/>
        <v>2.1322199245126243E-3</v>
      </c>
      <c r="F16">
        <f t="shared" si="3"/>
        <v>2.1632065134268717E-2</v>
      </c>
      <c r="G16">
        <f t="shared" si="4"/>
        <v>2.5311401803064817E-2</v>
      </c>
      <c r="H16" s="66">
        <v>2.1322199245126243</v>
      </c>
      <c r="I16" s="66">
        <v>21.632065134268718</v>
      </c>
      <c r="J16" s="66">
        <v>25.311401803064818</v>
      </c>
    </row>
    <row r="17" spans="1:10">
      <c r="A17" s="54">
        <v>37886</v>
      </c>
      <c r="B17" s="51">
        <v>21.9618</v>
      </c>
      <c r="C17" s="51">
        <v>-20.630199999999999</v>
      </c>
      <c r="D17" s="51">
        <v>65.900000000000006</v>
      </c>
      <c r="E17">
        <f t="shared" si="2"/>
        <v>2.2089393547798921E-3</v>
      </c>
      <c r="F17">
        <f t="shared" si="3"/>
        <v>3.5846897338008606E-3</v>
      </c>
      <c r="G17">
        <f t="shared" si="4"/>
        <v>4.8991628107803366E-2</v>
      </c>
      <c r="H17" s="66">
        <v>2.2089393547798921</v>
      </c>
      <c r="I17" s="66">
        <v>3.5846897338008605</v>
      </c>
      <c r="J17" s="66">
        <v>48.991628107803365</v>
      </c>
    </row>
    <row r="18" spans="1:10">
      <c r="A18" s="54">
        <v>37887</v>
      </c>
      <c r="B18" s="51">
        <v>20.5974</v>
      </c>
      <c r="C18" s="51">
        <v>-18.160299999999999</v>
      </c>
      <c r="D18" s="51">
        <v>5.8</v>
      </c>
      <c r="G18">
        <f t="shared" si="4"/>
        <v>3.3442246042823466E-3</v>
      </c>
      <c r="H18" s="66" t="s">
        <v>600</v>
      </c>
      <c r="I18" s="66" t="s">
        <v>600</v>
      </c>
      <c r="J18" s="66">
        <v>3.3442246042823465</v>
      </c>
    </row>
    <row r="19" spans="1:10">
      <c r="A19" s="54">
        <v>37887</v>
      </c>
      <c r="B19" s="51">
        <v>20.5974</v>
      </c>
      <c r="C19" s="51">
        <v>-18.160299999999999</v>
      </c>
      <c r="D19" s="51">
        <v>8.4</v>
      </c>
      <c r="G19">
        <f t="shared" si="4"/>
        <v>3.267169390996008E-3</v>
      </c>
      <c r="H19" s="66" t="s">
        <v>600</v>
      </c>
      <c r="I19" s="66" t="s">
        <v>600</v>
      </c>
      <c r="J19" s="66">
        <v>3.267169390996008</v>
      </c>
    </row>
    <row r="20" spans="1:10">
      <c r="A20" s="54">
        <v>37887</v>
      </c>
      <c r="B20" s="51">
        <v>20.5974</v>
      </c>
      <c r="C20" s="51">
        <v>-18.160299999999999</v>
      </c>
      <c r="D20" s="51">
        <v>12.8</v>
      </c>
      <c r="G20">
        <f t="shared" si="4"/>
        <v>3.9969435528818733E-3</v>
      </c>
      <c r="H20" s="66" t="s">
        <v>600</v>
      </c>
      <c r="I20" s="66" t="s">
        <v>600</v>
      </c>
      <c r="J20" s="66">
        <v>3.9969435528818731</v>
      </c>
    </row>
    <row r="21" spans="1:10">
      <c r="A21" s="54">
        <v>37887</v>
      </c>
      <c r="B21" s="51">
        <v>20.5974</v>
      </c>
      <c r="C21" s="51">
        <v>-18.160299999999999</v>
      </c>
      <c r="D21" s="51">
        <v>35.200000000000003</v>
      </c>
      <c r="G21">
        <f t="shared" si="4"/>
        <v>1.6219999999999998E-2</v>
      </c>
      <c r="H21" s="66" t="s">
        <v>600</v>
      </c>
      <c r="I21" s="66" t="s">
        <v>600</v>
      </c>
      <c r="J21" s="66">
        <v>16.22</v>
      </c>
    </row>
    <row r="22" spans="1:10">
      <c r="A22" s="54">
        <v>37887</v>
      </c>
      <c r="B22" s="51">
        <v>20.5974</v>
      </c>
      <c r="C22" s="51">
        <v>-18.160299999999999</v>
      </c>
      <c r="D22" s="51">
        <v>45.5</v>
      </c>
      <c r="G22">
        <f t="shared" si="4"/>
        <v>3.1539999999999999E-2</v>
      </c>
      <c r="H22" s="66" t="s">
        <v>600</v>
      </c>
      <c r="I22" s="66" t="s">
        <v>600</v>
      </c>
      <c r="J22" s="66">
        <v>31.54</v>
      </c>
    </row>
    <row r="23" spans="1:10">
      <c r="A23" s="54">
        <v>37904</v>
      </c>
      <c r="B23" s="51">
        <v>-41.151400000000002</v>
      </c>
      <c r="C23" s="51">
        <v>-41.708799999999997</v>
      </c>
      <c r="D23" s="51">
        <v>12.1</v>
      </c>
      <c r="G23">
        <f t="shared" si="4"/>
        <v>1.1625532077363764E-2</v>
      </c>
      <c r="H23" s="66" t="s">
        <v>600</v>
      </c>
      <c r="I23" s="66" t="s">
        <v>600</v>
      </c>
      <c r="J23" s="66">
        <v>11.625532077363763</v>
      </c>
    </row>
    <row r="24" spans="1:10">
      <c r="A24" s="54">
        <v>37904</v>
      </c>
      <c r="B24" s="51">
        <v>-41.151400000000002</v>
      </c>
      <c r="C24" s="51">
        <v>-41.708799999999997</v>
      </c>
      <c r="D24" s="51">
        <v>19.600000000000001</v>
      </c>
      <c r="G24">
        <f t="shared" si="4"/>
        <v>1.3108043985741712E-2</v>
      </c>
      <c r="H24" s="66" t="s">
        <v>600</v>
      </c>
      <c r="I24" s="66" t="s">
        <v>600</v>
      </c>
      <c r="J24" s="66">
        <v>13.108043985741713</v>
      </c>
    </row>
    <row r="25" spans="1:10">
      <c r="A25" s="54">
        <v>37904</v>
      </c>
      <c r="B25" s="51">
        <v>-41.151400000000002</v>
      </c>
      <c r="C25" s="51">
        <v>-41.708799999999997</v>
      </c>
      <c r="D25" s="51">
        <v>32.4</v>
      </c>
      <c r="G25">
        <f t="shared" si="4"/>
        <v>4.0891217769652662E-2</v>
      </c>
      <c r="H25" s="66" t="s">
        <v>600</v>
      </c>
      <c r="I25" s="66" t="s">
        <v>600</v>
      </c>
      <c r="J25" s="66">
        <v>40.891217769652663</v>
      </c>
    </row>
    <row r="26" spans="1:10">
      <c r="A26" s="54">
        <v>37904</v>
      </c>
      <c r="B26" s="51">
        <v>-41.151400000000002</v>
      </c>
      <c r="C26" s="51">
        <v>-41.708799999999997</v>
      </c>
      <c r="D26" s="51">
        <v>76.5</v>
      </c>
      <c r="G26">
        <f t="shared" si="4"/>
        <v>3.924256463499564E-2</v>
      </c>
      <c r="H26" s="66" t="s">
        <v>600</v>
      </c>
      <c r="I26" s="66" t="s">
        <v>600</v>
      </c>
      <c r="J26" s="66">
        <v>39.242564634995638</v>
      </c>
    </row>
    <row r="27" spans="1:10">
      <c r="A27" s="54">
        <v>37904</v>
      </c>
      <c r="B27" s="51">
        <v>-41.151400000000002</v>
      </c>
      <c r="C27" s="51">
        <v>-41.708799999999997</v>
      </c>
      <c r="D27" s="51">
        <v>116.9</v>
      </c>
      <c r="G27">
        <f t="shared" si="4"/>
        <v>4.2822515911440297E-2</v>
      </c>
      <c r="H27" s="66" t="s">
        <v>600</v>
      </c>
      <c r="I27" s="66" t="s">
        <v>600</v>
      </c>
      <c r="J27" s="66">
        <v>42.822515911440298</v>
      </c>
    </row>
    <row r="28" spans="1:10">
      <c r="A28" s="54">
        <v>37755</v>
      </c>
      <c r="B28" s="53">
        <v>-48.638800000000003</v>
      </c>
      <c r="C28" s="53">
        <v>-48.734000000000002</v>
      </c>
      <c r="D28" s="69">
        <v>27.456</v>
      </c>
      <c r="E28">
        <f t="shared" ref="E28" si="5">H28/1000</f>
        <v>1.902411419482631E-4</v>
      </c>
      <c r="F28">
        <f t="shared" ref="F28" si="6">I28/1000</f>
        <v>8.0153046440281552E-4</v>
      </c>
      <c r="G28">
        <f t="shared" si="4"/>
        <v>1.2090491726730959E-3</v>
      </c>
      <c r="H28" s="71">
        <v>0.19024114194826311</v>
      </c>
      <c r="I28" s="73">
        <v>0.8015304644028155</v>
      </c>
      <c r="J28" s="71">
        <v>1.2090491726730959</v>
      </c>
    </row>
    <row r="29" spans="1:10">
      <c r="A29" s="54">
        <v>37755</v>
      </c>
      <c r="B29" s="53">
        <v>-48.638800000000003</v>
      </c>
      <c r="C29" s="53">
        <v>-48.734000000000002</v>
      </c>
      <c r="D29" s="69">
        <v>52.963999999999999</v>
      </c>
      <c r="E29">
        <f t="shared" ref="E29:E92" si="7">H29/1000</f>
        <v>1.9705698664714997E-4</v>
      </c>
      <c r="F29">
        <f t="shared" ref="F29:F92" si="8">I29/1000</f>
        <v>9.4956806560671724E-4</v>
      </c>
      <c r="G29">
        <f t="shared" si="4"/>
        <v>2.3994095577489247E-3</v>
      </c>
      <c r="H29" s="71">
        <v>0.19705698664714996</v>
      </c>
      <c r="I29" s="73">
        <v>0.94956806560671725</v>
      </c>
      <c r="J29" s="71">
        <v>2.3994095577489247</v>
      </c>
    </row>
    <row r="30" spans="1:10">
      <c r="A30" s="54">
        <v>37755</v>
      </c>
      <c r="B30" s="53">
        <v>-48.638800000000003</v>
      </c>
      <c r="C30" s="53">
        <v>-48.734000000000002</v>
      </c>
      <c r="D30" s="69">
        <v>72.814999999999998</v>
      </c>
      <c r="E30">
        <f t="shared" si="7"/>
        <v>1.0379447220494733E-4</v>
      </c>
      <c r="F30">
        <f t="shared" si="8"/>
        <v>5.9090094402211633E-4</v>
      </c>
      <c r="G30">
        <f t="shared" si="4"/>
        <v>3.9030120547169122E-4</v>
      </c>
      <c r="H30" s="71">
        <v>0.10379447220494734</v>
      </c>
      <c r="I30" s="73">
        <v>0.59090094402211635</v>
      </c>
      <c r="J30" s="71">
        <v>0.39030120547169123</v>
      </c>
    </row>
    <row r="31" spans="1:10">
      <c r="A31" s="54">
        <v>37755</v>
      </c>
      <c r="B31" s="53">
        <v>-48.638800000000003</v>
      </c>
      <c r="C31" s="53">
        <v>-48.734000000000002</v>
      </c>
      <c r="D31" s="69">
        <v>123.395</v>
      </c>
      <c r="E31">
        <f t="shared" si="7"/>
        <v>4.261695466183209E-5</v>
      </c>
      <c r="F31">
        <f t="shared" si="8"/>
        <v>1.4699674421174614E-4</v>
      </c>
      <c r="G31">
        <f t="shared" si="4"/>
        <v>6.0489807261318443E-4</v>
      </c>
      <c r="H31" s="71">
        <v>4.2616954661832088E-2</v>
      </c>
      <c r="I31" s="73">
        <v>0.14699674421174613</v>
      </c>
      <c r="J31" s="71">
        <v>0.6048980726131844</v>
      </c>
    </row>
    <row r="32" spans="1:10" ht="21" thickBot="1">
      <c r="A32" s="54">
        <v>37755</v>
      </c>
      <c r="B32" s="53">
        <v>-48.638800000000003</v>
      </c>
      <c r="C32" s="53">
        <v>-48.734000000000002</v>
      </c>
      <c r="D32" s="70">
        <v>189.328</v>
      </c>
      <c r="E32">
        <f t="shared" si="7"/>
        <v>2.248193919602901E-5</v>
      </c>
      <c r="F32">
        <f t="shared" si="8"/>
        <v>2.898082279680803E-4</v>
      </c>
      <c r="G32">
        <f t="shared" si="4"/>
        <v>2.6426771175976417E-3</v>
      </c>
      <c r="H32" s="72">
        <v>2.2481939196029012E-2</v>
      </c>
      <c r="I32" s="74">
        <v>0.28980822796808031</v>
      </c>
      <c r="J32" s="72">
        <v>2.6426771175976418</v>
      </c>
    </row>
    <row r="33" spans="1:10">
      <c r="A33" s="54">
        <v>37757</v>
      </c>
      <c r="B33" s="53">
        <v>-44.4193</v>
      </c>
      <c r="C33" s="53">
        <v>-40.367899999999999</v>
      </c>
      <c r="D33" s="69">
        <v>1</v>
      </c>
      <c r="E33">
        <f t="shared" si="7"/>
        <v>2.9354452189918112E-4</v>
      </c>
      <c r="F33">
        <f t="shared" si="8"/>
        <v>3.4031121685241362E-4</v>
      </c>
      <c r="G33">
        <f t="shared" si="4"/>
        <v>3.7951572642549378E-3</v>
      </c>
      <c r="H33" s="71">
        <v>0.29354452189918112</v>
      </c>
      <c r="I33" s="73">
        <v>0.34031121685241361</v>
      </c>
      <c r="J33" s="71">
        <v>3.7951572642549376</v>
      </c>
    </row>
    <row r="34" spans="1:10">
      <c r="A34" s="54">
        <v>37757</v>
      </c>
      <c r="B34" s="51">
        <v>-44.4193</v>
      </c>
      <c r="C34" s="51">
        <v>-40.367899999999999</v>
      </c>
      <c r="D34" s="69">
        <v>25.965</v>
      </c>
      <c r="E34">
        <f t="shared" si="7"/>
        <v>9.0628297922160973E-4</v>
      </c>
      <c r="F34">
        <f t="shared" si="8"/>
        <v>8.0438532596452655E-3</v>
      </c>
      <c r="G34">
        <f t="shared" si="4"/>
        <v>1.9030278956420166E-3</v>
      </c>
      <c r="H34" s="71">
        <v>0.90628297922160972</v>
      </c>
      <c r="I34" s="73">
        <v>8.0438532596452657</v>
      </c>
      <c r="J34" s="71">
        <v>1.9030278956420166</v>
      </c>
    </row>
    <row r="35" spans="1:10">
      <c r="A35" s="54">
        <v>37757</v>
      </c>
      <c r="B35" s="51">
        <v>-44.4193</v>
      </c>
      <c r="C35" s="51">
        <v>-40.367899999999999</v>
      </c>
      <c r="D35" s="69">
        <v>52.143999999999998</v>
      </c>
      <c r="E35">
        <f t="shared" si="7"/>
        <v>7.9557593887595308E-4</v>
      </c>
      <c r="F35">
        <f t="shared" si="8"/>
        <v>8.502864387707089E-4</v>
      </c>
      <c r="G35">
        <f t="shared" si="4"/>
        <v>2.5447861946954441E-3</v>
      </c>
      <c r="H35" s="71">
        <v>0.79557593887595313</v>
      </c>
      <c r="I35" s="73">
        <v>0.85028643877070886</v>
      </c>
      <c r="J35" s="71">
        <v>2.544786194695444</v>
      </c>
    </row>
    <row r="36" spans="1:10">
      <c r="A36" s="54">
        <v>37757</v>
      </c>
      <c r="B36" s="51">
        <v>-44.4193</v>
      </c>
      <c r="C36" s="51">
        <v>-40.367899999999999</v>
      </c>
      <c r="D36" s="69">
        <v>72.944000000000003</v>
      </c>
      <c r="E36">
        <f t="shared" si="7"/>
        <v>9.3512150384139148E-4</v>
      </c>
      <c r="F36">
        <f t="shared" si="8"/>
        <v>1.7099692530588768E-3</v>
      </c>
      <c r="G36">
        <f t="shared" si="4"/>
        <v>9.3738028654229253E-4</v>
      </c>
      <c r="H36" s="71">
        <v>0.93512150384139148</v>
      </c>
      <c r="I36" s="75">
        <v>1.7099692530588768</v>
      </c>
      <c r="J36" s="71">
        <v>0.93738028654229255</v>
      </c>
    </row>
    <row r="37" spans="1:10">
      <c r="A37" s="54">
        <v>37757</v>
      </c>
      <c r="B37" s="51">
        <v>-44.4193</v>
      </c>
      <c r="C37" s="51">
        <v>-40.367899999999999</v>
      </c>
      <c r="D37" s="69">
        <v>122.57299999999999</v>
      </c>
      <c r="E37">
        <f t="shared" si="7"/>
        <v>1.8014997936390977E-4</v>
      </c>
      <c r="F37">
        <f t="shared" si="8"/>
        <v>2.2941359268994636E-4</v>
      </c>
      <c r="G37">
        <f t="shared" si="4"/>
        <v>1.079966227263999E-3</v>
      </c>
      <c r="H37" s="71">
        <v>0.18014997936390978</v>
      </c>
      <c r="I37" s="73">
        <v>0.22941359268994638</v>
      </c>
      <c r="J37" s="71">
        <v>1.0799662272639989</v>
      </c>
    </row>
    <row r="38" spans="1:10" ht="21" thickBot="1">
      <c r="A38" s="54">
        <v>37757</v>
      </c>
      <c r="B38" s="51">
        <v>-44.4193</v>
      </c>
      <c r="C38" s="51">
        <v>-40.367899999999999</v>
      </c>
      <c r="D38" s="70">
        <v>187.273</v>
      </c>
      <c r="E38">
        <f t="shared" si="7"/>
        <v>1.1783672430555004E-4</v>
      </c>
      <c r="F38">
        <f t="shared" si="8"/>
        <v>1.1672219623543644E-3</v>
      </c>
      <c r="G38">
        <f t="shared" si="4"/>
        <v>4.4071859929956103E-3</v>
      </c>
      <c r="H38" s="72">
        <v>0.11783672430555005</v>
      </c>
      <c r="I38" s="74">
        <v>1.1672219623543643</v>
      </c>
      <c r="J38" s="72">
        <v>4.4071859929956103</v>
      </c>
    </row>
    <row r="39" spans="1:10">
      <c r="A39" s="54">
        <v>37758</v>
      </c>
      <c r="B39" s="53">
        <v>-43.198300000000003</v>
      </c>
      <c r="C39" s="53">
        <v>-45.301699999999997</v>
      </c>
      <c r="D39" s="69">
        <v>1</v>
      </c>
      <c r="E39">
        <f t="shared" si="7"/>
        <v>2.883712923233952E-3</v>
      </c>
      <c r="F39">
        <f t="shared" si="8"/>
        <v>9.9380558183300078E-4</v>
      </c>
      <c r="G39">
        <f t="shared" si="4"/>
        <v>5.3362352254515753E-4</v>
      </c>
      <c r="H39" s="71">
        <v>2.883712923233952</v>
      </c>
      <c r="I39" s="73">
        <v>0.99380558183300083</v>
      </c>
      <c r="J39" s="71">
        <v>0.53362352254515755</v>
      </c>
    </row>
    <row r="40" spans="1:10">
      <c r="A40" s="54">
        <v>37758</v>
      </c>
      <c r="B40" s="51">
        <v>-43.198300000000003</v>
      </c>
      <c r="C40" s="51">
        <v>-45.301699999999997</v>
      </c>
      <c r="D40" s="69">
        <v>12.866</v>
      </c>
      <c r="E40">
        <f t="shared" si="7"/>
        <v>7.6643988415354891E-3</v>
      </c>
      <c r="F40">
        <f t="shared" si="8"/>
        <v>2.6858755877491487E-3</v>
      </c>
      <c r="G40">
        <f t="shared" si="4"/>
        <v>8.8176152955367164E-4</v>
      </c>
      <c r="H40" s="71">
        <v>7.6643988415354887</v>
      </c>
      <c r="I40" s="73">
        <v>2.6858755877491487</v>
      </c>
      <c r="J40" s="71">
        <v>0.8817615295536716</v>
      </c>
    </row>
    <row r="41" spans="1:10">
      <c r="A41" s="54">
        <v>37758</v>
      </c>
      <c r="B41" s="51">
        <v>-43.198300000000003</v>
      </c>
      <c r="C41" s="51">
        <v>-45.301699999999997</v>
      </c>
      <c r="D41" s="69">
        <v>18.460999999999999</v>
      </c>
      <c r="E41">
        <f t="shared" si="7"/>
        <v>7.9888954419061759E-3</v>
      </c>
      <c r="F41">
        <f t="shared" si="8"/>
        <v>2.9716361492705297E-3</v>
      </c>
      <c r="G41">
        <f t="shared" si="4"/>
        <v>1.2454862045499951E-3</v>
      </c>
      <c r="H41" s="71">
        <v>7.988895441906176</v>
      </c>
      <c r="I41" s="73">
        <v>2.9716361492705299</v>
      </c>
      <c r="J41" s="71">
        <v>1.245486204549995</v>
      </c>
    </row>
    <row r="42" spans="1:10">
      <c r="A42" s="54">
        <v>37758</v>
      </c>
      <c r="B42" s="51">
        <v>-43.198300000000003</v>
      </c>
      <c r="C42" s="51">
        <v>-45.301699999999997</v>
      </c>
      <c r="D42" s="69">
        <v>30.617999999999999</v>
      </c>
      <c r="E42">
        <f t="shared" si="7"/>
        <v>5.7992272761867511E-3</v>
      </c>
      <c r="F42">
        <f t="shared" si="8"/>
        <v>2.0309336830230686E-3</v>
      </c>
      <c r="G42">
        <f t="shared" si="4"/>
        <v>1.1970360616505367E-3</v>
      </c>
      <c r="H42" s="71">
        <v>5.7992272761867509</v>
      </c>
      <c r="I42" s="73">
        <v>2.0309336830230684</v>
      </c>
      <c r="J42" s="71">
        <v>1.1970360616505367</v>
      </c>
    </row>
    <row r="43" spans="1:10">
      <c r="A43" s="54">
        <v>37758</v>
      </c>
      <c r="B43" s="51">
        <v>-43.198300000000003</v>
      </c>
      <c r="C43" s="51">
        <v>-45.301699999999997</v>
      </c>
      <c r="D43" s="69">
        <v>67.468000000000004</v>
      </c>
      <c r="E43">
        <f t="shared" si="7"/>
        <v>4.4552484036240719E-3</v>
      </c>
      <c r="F43">
        <f t="shared" si="8"/>
        <v>1.9746178396252028E-3</v>
      </c>
      <c r="G43">
        <f t="shared" si="4"/>
        <v>2.4499229788681946E-4</v>
      </c>
      <c r="H43" s="71">
        <v>4.455248403624072</v>
      </c>
      <c r="I43" s="73">
        <v>1.9746178396252028</v>
      </c>
      <c r="J43" s="71">
        <v>0.24499229788681945</v>
      </c>
    </row>
    <row r="44" spans="1:10" ht="21" thickBot="1">
      <c r="A44" s="54">
        <v>37758</v>
      </c>
      <c r="B44" s="51">
        <v>-43.198300000000003</v>
      </c>
      <c r="C44" s="51">
        <v>-45.301699999999997</v>
      </c>
      <c r="D44" s="70">
        <v>98.918000000000006</v>
      </c>
      <c r="E44">
        <f t="shared" si="7"/>
        <v>1.242716139494983E-4</v>
      </c>
      <c r="F44">
        <f t="shared" si="8"/>
        <v>2.3813421118351185E-4</v>
      </c>
      <c r="G44">
        <f t="shared" si="4"/>
        <v>5.3304258676698522E-4</v>
      </c>
      <c r="H44" s="72">
        <v>0.1242716139494983</v>
      </c>
      <c r="I44" s="74">
        <v>0.23813421118351186</v>
      </c>
      <c r="J44" s="72">
        <v>0.53304258676698524</v>
      </c>
    </row>
    <row r="45" spans="1:10">
      <c r="A45" s="54">
        <v>37759</v>
      </c>
      <c r="B45" s="53">
        <v>-41.048099999999998</v>
      </c>
      <c r="C45" s="53">
        <v>-42.1586</v>
      </c>
      <c r="D45" s="69">
        <v>1</v>
      </c>
      <c r="E45">
        <f t="shared" si="7"/>
        <v>1.9348598639850041E-3</v>
      </c>
      <c r="F45">
        <f t="shared" si="8"/>
        <v>2.9669980757286761E-3</v>
      </c>
      <c r="G45">
        <f t="shared" si="4"/>
        <v>1.2843192061220445E-3</v>
      </c>
      <c r="H45" s="71">
        <v>1.9348598639850041</v>
      </c>
      <c r="I45" s="73">
        <v>2.966998075728676</v>
      </c>
      <c r="J45" s="71">
        <v>1.2843192061220445</v>
      </c>
    </row>
    <row r="46" spans="1:10">
      <c r="A46" s="54">
        <v>37759</v>
      </c>
      <c r="B46" s="51">
        <v>-41.048099999999998</v>
      </c>
      <c r="C46" s="51">
        <v>-42.1586</v>
      </c>
      <c r="D46" s="69">
        <v>13.204000000000001</v>
      </c>
      <c r="E46">
        <f t="shared" si="7"/>
        <v>1.9623370344326119E-3</v>
      </c>
      <c r="F46">
        <f t="shared" si="8"/>
        <v>6.1127636130960568E-3</v>
      </c>
      <c r="G46">
        <f t="shared" si="4"/>
        <v>1.6299331159070809E-3</v>
      </c>
      <c r="H46" s="71">
        <v>1.9623370344326119</v>
      </c>
      <c r="I46" s="73">
        <v>6.1127636130960568</v>
      </c>
      <c r="J46" s="71">
        <v>1.6299331159070809</v>
      </c>
    </row>
    <row r="47" spans="1:10">
      <c r="A47" s="54">
        <v>37759</v>
      </c>
      <c r="B47" s="51">
        <v>-41.048099999999998</v>
      </c>
      <c r="C47" s="51">
        <v>-42.1586</v>
      </c>
      <c r="D47" s="69">
        <v>20.99</v>
      </c>
      <c r="E47">
        <f t="shared" si="7"/>
        <v>2.3484106322504078E-3</v>
      </c>
      <c r="F47">
        <f t="shared" si="8"/>
        <v>5.8693554668089749E-3</v>
      </c>
      <c r="G47">
        <f t="shared" si="4"/>
        <v>1.8920663100875233E-3</v>
      </c>
      <c r="H47" s="71">
        <v>2.3484106322504079</v>
      </c>
      <c r="I47" s="73">
        <v>5.8693554668089751</v>
      </c>
      <c r="J47" s="71">
        <v>1.8920663100875232</v>
      </c>
    </row>
    <row r="48" spans="1:10">
      <c r="A48" s="54">
        <v>37759</v>
      </c>
      <c r="B48" s="51">
        <v>-41.048099999999998</v>
      </c>
      <c r="C48" s="51">
        <v>-42.1586</v>
      </c>
      <c r="D48" s="69">
        <v>32.959000000000003</v>
      </c>
      <c r="E48">
        <f t="shared" si="7"/>
        <v>1.9058061234629177E-3</v>
      </c>
      <c r="F48">
        <f t="shared" si="8"/>
        <v>7.5900396660173695E-3</v>
      </c>
      <c r="G48">
        <f t="shared" si="4"/>
        <v>2.1464610538191107E-3</v>
      </c>
      <c r="H48" s="71">
        <v>1.9058061234629178</v>
      </c>
      <c r="I48" s="73">
        <v>7.5900396660173692</v>
      </c>
      <c r="J48" s="71">
        <v>2.1464610538191109</v>
      </c>
    </row>
    <row r="49" spans="1:10">
      <c r="A49" s="54">
        <v>37759</v>
      </c>
      <c r="B49" s="51">
        <v>-41.048099999999998</v>
      </c>
      <c r="C49" s="51">
        <v>-42.1586</v>
      </c>
      <c r="D49" s="69">
        <v>63.216000000000001</v>
      </c>
      <c r="E49">
        <f t="shared" si="7"/>
        <v>9.6052166534222564E-4</v>
      </c>
      <c r="F49">
        <f t="shared" si="8"/>
        <v>4.3526247546055606E-3</v>
      </c>
      <c r="G49">
        <f t="shared" si="4"/>
        <v>2.824462805507088E-4</v>
      </c>
      <c r="H49" s="71">
        <v>0.96052166534222561</v>
      </c>
      <c r="I49" s="73">
        <v>4.3526247546055608</v>
      </c>
      <c r="J49" s="71">
        <v>0.28244628055070881</v>
      </c>
    </row>
    <row r="50" spans="1:10" ht="21" thickBot="1">
      <c r="A50" s="54">
        <v>37759</v>
      </c>
      <c r="B50" s="51">
        <v>-41.048099999999998</v>
      </c>
      <c r="C50" s="51">
        <v>-42.1586</v>
      </c>
      <c r="D50" s="70">
        <v>103.121</v>
      </c>
      <c r="E50">
        <f t="shared" si="7"/>
        <v>1.7919543008745076E-4</v>
      </c>
      <c r="F50">
        <f t="shared" si="8"/>
        <v>1.9623347992294511E-4</v>
      </c>
      <c r="G50">
        <f t="shared" si="4"/>
        <v>2.6668586179383201E-3</v>
      </c>
      <c r="H50" s="72">
        <v>0.17919543008745076</v>
      </c>
      <c r="I50" s="74">
        <v>0.1962334799229451</v>
      </c>
      <c r="J50" s="72">
        <v>2.66685861793832</v>
      </c>
    </row>
    <row r="51" spans="1:10">
      <c r="A51" s="54">
        <v>37760</v>
      </c>
      <c r="B51" s="53">
        <v>-37.790399999999998</v>
      </c>
      <c r="C51" s="53">
        <v>-37.616399999999999</v>
      </c>
      <c r="D51" s="69">
        <v>1</v>
      </c>
      <c r="E51">
        <f t="shared" si="7"/>
        <v>9.1451162309110173E-4</v>
      </c>
      <c r="F51">
        <f t="shared" si="8"/>
        <v>2.0410173874266407E-3</v>
      </c>
      <c r="G51">
        <f t="shared" si="4"/>
        <v>6.0080055965198751E-5</v>
      </c>
      <c r="H51" s="71">
        <v>0.91451162309110168</v>
      </c>
      <c r="I51" s="73">
        <v>2.0410173874266406</v>
      </c>
      <c r="J51" s="71">
        <v>6.0080055965198748E-2</v>
      </c>
    </row>
    <row r="52" spans="1:10">
      <c r="A52" s="54">
        <v>37760</v>
      </c>
      <c r="B52" s="51">
        <v>-37.790399999999998</v>
      </c>
      <c r="C52" s="51">
        <v>-37.616399999999999</v>
      </c>
      <c r="D52" s="69">
        <v>9.07</v>
      </c>
      <c r="E52">
        <f t="shared" si="7"/>
        <v>1.0005072761810868E-3</v>
      </c>
      <c r="F52">
        <f t="shared" si="8"/>
        <v>6.8340103571816919E-3</v>
      </c>
      <c r="G52">
        <f t="shared" si="4"/>
        <v>2.6607310148929296E-4</v>
      </c>
      <c r="H52" s="71">
        <v>1.0005072761810867</v>
      </c>
      <c r="I52" s="73">
        <v>6.8340103571816924</v>
      </c>
      <c r="J52" s="71">
        <v>0.26607310148929297</v>
      </c>
    </row>
    <row r="53" spans="1:10">
      <c r="A53" s="54">
        <v>37760</v>
      </c>
      <c r="B53" s="51">
        <v>-37.790399999999998</v>
      </c>
      <c r="C53" s="51">
        <v>-37.616399999999999</v>
      </c>
      <c r="D53" s="69">
        <v>14.861000000000001</v>
      </c>
      <c r="E53">
        <f t="shared" si="7"/>
        <v>5.6221922782957875E-4</v>
      </c>
      <c r="F53">
        <f t="shared" si="8"/>
        <v>9.6208737986090524E-3</v>
      </c>
      <c r="G53">
        <f t="shared" si="4"/>
        <v>1.5056653362738486E-4</v>
      </c>
      <c r="H53" s="71">
        <v>0.56221922782957878</v>
      </c>
      <c r="I53" s="73">
        <v>9.6208737986090522</v>
      </c>
      <c r="J53" s="71">
        <v>0.15056653362738487</v>
      </c>
    </row>
    <row r="54" spans="1:10">
      <c r="A54" s="54">
        <v>37760</v>
      </c>
      <c r="B54" s="51">
        <v>-37.790399999999998</v>
      </c>
      <c r="C54" s="51">
        <v>-37.616399999999999</v>
      </c>
      <c r="D54" s="69">
        <v>26.317</v>
      </c>
      <c r="E54">
        <f t="shared" si="7"/>
        <v>1.5503455710858547E-3</v>
      </c>
      <c r="F54">
        <f t="shared" si="8"/>
        <v>1.2575740395510789E-2</v>
      </c>
      <c r="G54">
        <f t="shared" si="4"/>
        <v>2.2134993823958485E-4</v>
      </c>
      <c r="H54" s="71">
        <v>1.5503455710858547</v>
      </c>
      <c r="I54" s="73">
        <v>12.57574039551079</v>
      </c>
      <c r="J54" s="71">
        <v>0.22134993823958485</v>
      </c>
    </row>
    <row r="55" spans="1:10">
      <c r="A55" s="54">
        <v>37760</v>
      </c>
      <c r="B55" s="51">
        <v>-37.790399999999998</v>
      </c>
      <c r="C55" s="51">
        <v>-37.616399999999999</v>
      </c>
      <c r="D55" s="69">
        <v>57.38</v>
      </c>
      <c r="E55">
        <f t="shared" si="7"/>
        <v>1.4414629067542486E-3</v>
      </c>
      <c r="F55">
        <f t="shared" si="8"/>
        <v>3.7953535726808546E-3</v>
      </c>
      <c r="G55">
        <f t="shared" si="4"/>
        <v>3.2371423439715358E-5</v>
      </c>
      <c r="H55" s="71">
        <v>1.4414629067542486</v>
      </c>
      <c r="I55" s="73">
        <v>3.7953535726808547</v>
      </c>
      <c r="J55" s="71">
        <v>3.2371423439715358E-2</v>
      </c>
    </row>
    <row r="56" spans="1:10" ht="21" thickBot="1">
      <c r="A56" s="54">
        <v>37760</v>
      </c>
      <c r="B56" s="51">
        <v>-37.790399999999998</v>
      </c>
      <c r="C56" s="51">
        <v>-37.616399999999999</v>
      </c>
      <c r="D56" s="70">
        <v>85.576999999999998</v>
      </c>
      <c r="E56">
        <f t="shared" si="7"/>
        <v>8.1875011511363329E-4</v>
      </c>
      <c r="F56">
        <f t="shared" si="8"/>
        <v>7.1852513092651043E-4</v>
      </c>
      <c r="G56">
        <f t="shared" si="4"/>
        <v>5.1698444773201164E-5</v>
      </c>
      <c r="H56" s="72">
        <v>0.81875011511363327</v>
      </c>
      <c r="I56" s="74">
        <v>0.71852513092651038</v>
      </c>
      <c r="J56" s="72">
        <v>5.1698444773201166E-2</v>
      </c>
    </row>
    <row r="57" spans="1:10">
      <c r="A57" s="54">
        <v>37761</v>
      </c>
      <c r="B57" s="53">
        <v>-34.780200000000001</v>
      </c>
      <c r="C57" s="53">
        <v>-33.579000000000001</v>
      </c>
      <c r="D57" s="69">
        <v>1</v>
      </c>
      <c r="E57">
        <f t="shared" si="7"/>
        <v>4.2884861656537987E-4</v>
      </c>
      <c r="F57">
        <f t="shared" si="8"/>
        <v>2.2219628053752852E-3</v>
      </c>
      <c r="G57">
        <f t="shared" si="4"/>
        <v>2.2954138401876122E-5</v>
      </c>
      <c r="H57" s="71">
        <v>0.42884861656537987</v>
      </c>
      <c r="I57" s="73">
        <v>2.2219628053752851</v>
      </c>
      <c r="J57" s="71">
        <v>2.2954138401876122E-2</v>
      </c>
    </row>
    <row r="58" spans="1:10">
      <c r="A58" s="54">
        <v>37761</v>
      </c>
      <c r="B58" s="51">
        <v>-34.780200000000001</v>
      </c>
      <c r="C58" s="51">
        <v>-33.579000000000001</v>
      </c>
      <c r="D58" s="69">
        <v>11.73</v>
      </c>
      <c r="E58">
        <f t="shared" si="7"/>
        <v>2.1589384396475259E-3</v>
      </c>
      <c r="F58">
        <f t="shared" si="8"/>
        <v>1.5173976392304193E-2</v>
      </c>
      <c r="G58">
        <f t="shared" si="4"/>
        <v>6.2705781828007617E-4</v>
      </c>
      <c r="H58" s="71">
        <v>2.158938439647526</v>
      </c>
      <c r="I58" s="73">
        <v>15.173976392304192</v>
      </c>
      <c r="J58" s="71">
        <v>0.62705781828007612</v>
      </c>
    </row>
    <row r="59" spans="1:10">
      <c r="A59" s="54">
        <v>37761</v>
      </c>
      <c r="B59" s="51">
        <v>-34.780200000000001</v>
      </c>
      <c r="C59" s="51">
        <v>-33.579000000000001</v>
      </c>
      <c r="D59" s="69">
        <v>20.417999999999999</v>
      </c>
      <c r="E59">
        <f t="shared" si="7"/>
        <v>1.2471132446741045E-3</v>
      </c>
      <c r="F59">
        <f t="shared" si="8"/>
        <v>6.9667058239274221E-3</v>
      </c>
      <c r="G59">
        <f t="shared" si="4"/>
        <v>6.8202816351154016E-5</v>
      </c>
      <c r="H59" s="71">
        <v>1.2471132446741044</v>
      </c>
      <c r="I59" s="73">
        <v>6.9667058239274224</v>
      </c>
      <c r="J59" s="71">
        <v>6.8202816351154022E-2</v>
      </c>
    </row>
    <row r="60" spans="1:10">
      <c r="A60" s="54">
        <v>37761</v>
      </c>
      <c r="B60" s="51">
        <v>-34.780200000000001</v>
      </c>
      <c r="C60" s="51">
        <v>-33.579000000000001</v>
      </c>
      <c r="D60" s="69">
        <v>34.276000000000003</v>
      </c>
      <c r="E60">
        <f t="shared" si="7"/>
        <v>8.6595820918790073E-4</v>
      </c>
      <c r="F60">
        <f t="shared" si="8"/>
        <v>9.7600097846388088E-3</v>
      </c>
      <c r="G60">
        <f t="shared" si="4"/>
        <v>1.3296308820740082E-4</v>
      </c>
      <c r="H60" s="71">
        <v>0.86595820918790078</v>
      </c>
      <c r="I60" s="73">
        <v>9.7600097846388092</v>
      </c>
      <c r="J60" s="71">
        <v>0.13296308820740083</v>
      </c>
    </row>
    <row r="61" spans="1:10">
      <c r="A61" s="54">
        <v>37761</v>
      </c>
      <c r="B61" s="51">
        <v>-34.780200000000001</v>
      </c>
      <c r="C61" s="51">
        <v>-33.579000000000001</v>
      </c>
      <c r="D61" s="69">
        <v>85.840999999999994</v>
      </c>
      <c r="E61">
        <f t="shared" si="7"/>
        <v>9.2597931098048144E-4</v>
      </c>
      <c r="F61">
        <f t="shared" si="8"/>
        <v>3.2324424634124029E-3</v>
      </c>
      <c r="G61">
        <f t="shared" si="4"/>
        <v>2.1187795187462076E-4</v>
      </c>
      <c r="H61" s="71">
        <v>0.92597931098048147</v>
      </c>
      <c r="I61" s="73">
        <v>3.2324424634124029</v>
      </c>
      <c r="J61" s="71">
        <v>0.21187795187462075</v>
      </c>
    </row>
    <row r="62" spans="1:10" ht="21" thickBot="1">
      <c r="A62" s="54">
        <v>37761</v>
      </c>
      <c r="B62" s="51">
        <v>-34.780200000000001</v>
      </c>
      <c r="C62" s="51">
        <v>-33.579000000000001</v>
      </c>
      <c r="D62" s="70">
        <v>113.503</v>
      </c>
      <c r="E62">
        <f t="shared" si="7"/>
        <v>7.8684993895178118E-4</v>
      </c>
      <c r="F62">
        <f t="shared" si="8"/>
        <v>8.4471794667140092E-4</v>
      </c>
      <c r="G62">
        <f t="shared" si="4"/>
        <v>1.2486341804264737E-3</v>
      </c>
      <c r="H62" s="72">
        <v>0.78684993895178124</v>
      </c>
      <c r="I62" s="74">
        <v>0.84471794667140088</v>
      </c>
      <c r="J62" s="72">
        <v>1.2486341804264736</v>
      </c>
    </row>
    <row r="63" spans="1:10">
      <c r="A63" s="54">
        <v>37763</v>
      </c>
      <c r="B63" s="53">
        <v>-29.524899999999999</v>
      </c>
      <c r="C63" s="53">
        <v>-26.888200000000001</v>
      </c>
      <c r="D63" s="69">
        <v>1</v>
      </c>
      <c r="E63">
        <f t="shared" si="7"/>
        <v>1.202296801696533E-3</v>
      </c>
      <c r="F63">
        <f t="shared" si="8"/>
        <v>3.8710645273565096E-3</v>
      </c>
      <c r="G63">
        <f t="shared" si="4"/>
        <v>5.8970326412924139E-4</v>
      </c>
      <c r="H63" s="71">
        <v>1.202296801696533</v>
      </c>
      <c r="I63" s="73">
        <v>3.8710645273565096</v>
      </c>
      <c r="J63" s="71">
        <v>0.58970326412924134</v>
      </c>
    </row>
    <row r="64" spans="1:10">
      <c r="A64" s="54">
        <v>37763</v>
      </c>
      <c r="B64" s="51">
        <v>-29.524899999999999</v>
      </c>
      <c r="C64" s="51">
        <v>-26.888200000000001</v>
      </c>
      <c r="D64" s="69">
        <v>14.074</v>
      </c>
      <c r="E64">
        <f t="shared" si="7"/>
        <v>2.1925942081338643E-3</v>
      </c>
      <c r="F64">
        <f t="shared" si="8"/>
        <v>7.8161503648405337E-3</v>
      </c>
      <c r="G64">
        <f t="shared" si="4"/>
        <v>1.722703607269732E-3</v>
      </c>
      <c r="H64" s="71">
        <v>2.1925942081338641</v>
      </c>
      <c r="I64" s="73">
        <v>7.8161503648405333</v>
      </c>
      <c r="J64" s="71">
        <v>1.7227036072697319</v>
      </c>
    </row>
    <row r="65" spans="1:10">
      <c r="A65" s="54">
        <v>37763</v>
      </c>
      <c r="B65" s="51">
        <v>-29.524899999999999</v>
      </c>
      <c r="C65" s="51">
        <v>-26.888200000000001</v>
      </c>
      <c r="D65" s="69">
        <v>24.100999999999999</v>
      </c>
      <c r="E65">
        <f t="shared" si="7"/>
        <v>1.0372616095876569E-3</v>
      </c>
      <c r="F65">
        <f t="shared" si="8"/>
        <v>4.9724980777744862E-3</v>
      </c>
      <c r="G65">
        <f t="shared" si="4"/>
        <v>1.0215859190997011E-3</v>
      </c>
      <c r="H65" s="71">
        <v>1.0372616095876568</v>
      </c>
      <c r="I65" s="73">
        <v>4.9724980777744863</v>
      </c>
      <c r="J65" s="71">
        <v>1.021585919099701</v>
      </c>
    </row>
    <row r="66" spans="1:10">
      <c r="A66" s="54">
        <v>37763</v>
      </c>
      <c r="B66" s="51">
        <v>-29.524899999999999</v>
      </c>
      <c r="C66" s="51">
        <v>-26.888200000000001</v>
      </c>
      <c r="D66" s="69">
        <v>41.256999999999998</v>
      </c>
      <c r="E66">
        <f t="shared" si="7"/>
        <v>1.4463064802437639E-3</v>
      </c>
      <c r="F66">
        <f t="shared" si="8"/>
        <v>1.0559920698658253E-2</v>
      </c>
      <c r="G66">
        <f t="shared" si="4"/>
        <v>1.6134776001687726E-3</v>
      </c>
      <c r="H66" s="71">
        <v>1.446306480243764</v>
      </c>
      <c r="I66" s="73">
        <v>10.559920698658253</v>
      </c>
      <c r="J66" s="71">
        <v>1.6134776001687727</v>
      </c>
    </row>
    <row r="67" spans="1:10">
      <c r="A67" s="54">
        <v>37763</v>
      </c>
      <c r="B67" s="51">
        <v>-29.524899999999999</v>
      </c>
      <c r="C67" s="51">
        <v>-26.888200000000001</v>
      </c>
      <c r="D67" s="69">
        <v>117.102</v>
      </c>
      <c r="E67">
        <f t="shared" si="7"/>
        <v>2.5625097505536704E-4</v>
      </c>
      <c r="F67">
        <f t="shared" si="8"/>
        <v>1.111533462966417E-3</v>
      </c>
      <c r="G67">
        <f t="shared" ref="G67:G130" si="9">J67/1000</f>
        <v>2.5372432626370695E-4</v>
      </c>
      <c r="H67" s="71">
        <v>0.25625097505536704</v>
      </c>
      <c r="I67" s="73">
        <v>1.1115334629664171</v>
      </c>
      <c r="J67" s="71">
        <v>0.25372432626370695</v>
      </c>
    </row>
    <row r="68" spans="1:10" ht="21" thickBot="1">
      <c r="A68" s="54">
        <v>37763</v>
      </c>
      <c r="B68" s="51">
        <v>-29.524899999999999</v>
      </c>
      <c r="C68" s="51">
        <v>-26.888200000000001</v>
      </c>
      <c r="D68" s="70">
        <v>143.238</v>
      </c>
      <c r="E68">
        <f t="shared" si="7"/>
        <v>5.1149763564551226E-3</v>
      </c>
      <c r="F68">
        <f t="shared" si="8"/>
        <v>1.3207273455484672E-4</v>
      </c>
      <c r="G68">
        <f t="shared" si="9"/>
        <v>4.4821207999235554E-4</v>
      </c>
      <c r="H68" s="72">
        <v>5.1149763564551227</v>
      </c>
      <c r="I68" s="74">
        <v>0.13207273455484672</v>
      </c>
      <c r="J68" s="72">
        <v>0.44821207999235552</v>
      </c>
    </row>
    <row r="69" spans="1:10">
      <c r="A69" s="54">
        <v>37764</v>
      </c>
      <c r="B69" s="53">
        <v>-26.054200000000002</v>
      </c>
      <c r="C69" s="53">
        <v>-25.006599999999999</v>
      </c>
      <c r="D69" s="69">
        <v>1</v>
      </c>
      <c r="E69">
        <f t="shared" si="7"/>
        <v>1.3010696147331005E-3</v>
      </c>
      <c r="F69">
        <f t="shared" si="8"/>
        <v>3.0703688456188635E-2</v>
      </c>
      <c r="G69">
        <f t="shared" si="9"/>
        <v>2.1288803871968306E-4</v>
      </c>
      <c r="H69" s="71">
        <v>1.3010696147331005</v>
      </c>
      <c r="I69" s="73">
        <v>30.703688456188637</v>
      </c>
      <c r="J69" s="71">
        <v>0.21288803871968306</v>
      </c>
    </row>
    <row r="70" spans="1:10">
      <c r="A70" s="54">
        <v>37764</v>
      </c>
      <c r="B70" s="51">
        <v>-26.054200000000002</v>
      </c>
      <c r="C70" s="51">
        <v>-25.006599999999999</v>
      </c>
      <c r="D70" s="69">
        <v>13.201000000000001</v>
      </c>
      <c r="E70">
        <f t="shared" si="7"/>
        <v>4.8606784263830263E-3</v>
      </c>
      <c r="F70">
        <f t="shared" si="8"/>
        <v>5.1087375601278264E-3</v>
      </c>
      <c r="G70">
        <f t="shared" si="9"/>
        <v>3.8275300687051739E-4</v>
      </c>
      <c r="H70" s="71">
        <v>4.8606784263830267</v>
      </c>
      <c r="I70" s="73">
        <v>5.1087375601278264</v>
      </c>
      <c r="J70" s="71">
        <v>0.38275300687051739</v>
      </c>
    </row>
    <row r="71" spans="1:10">
      <c r="A71" s="54">
        <v>37764</v>
      </c>
      <c r="B71" s="51">
        <v>-26.054200000000002</v>
      </c>
      <c r="C71" s="51">
        <v>-25.006599999999999</v>
      </c>
      <c r="D71" s="69">
        <v>23.372</v>
      </c>
      <c r="E71">
        <f t="shared" si="7"/>
        <v>2.3014010197424336E-3</v>
      </c>
      <c r="F71">
        <f t="shared" si="8"/>
        <v>6.7490755708052548E-3</v>
      </c>
      <c r="G71">
        <f t="shared" si="9"/>
        <v>4.6484610850179022E-4</v>
      </c>
      <c r="H71" s="71">
        <v>2.3014010197424337</v>
      </c>
      <c r="I71" s="73">
        <v>6.749075570805255</v>
      </c>
      <c r="J71" s="71">
        <v>0.4648461085017902</v>
      </c>
    </row>
    <row r="72" spans="1:10">
      <c r="A72" s="54">
        <v>37764</v>
      </c>
      <c r="B72" s="51">
        <v>-26.054200000000002</v>
      </c>
      <c r="C72" s="51">
        <v>-25.006599999999999</v>
      </c>
      <c r="D72" s="69">
        <v>41.325000000000003</v>
      </c>
      <c r="E72">
        <f t="shared" si="7"/>
        <v>2.6294511278515146E-3</v>
      </c>
      <c r="F72">
        <f t="shared" si="8"/>
        <v>3.3385555755182216E-3</v>
      </c>
      <c r="G72">
        <f t="shared" si="9"/>
        <v>3.966122142031426E-4</v>
      </c>
      <c r="H72" s="71">
        <v>2.6294511278515147</v>
      </c>
      <c r="I72" s="73">
        <v>3.3385555755182215</v>
      </c>
      <c r="J72" s="71">
        <v>0.39661221420314258</v>
      </c>
    </row>
    <row r="73" spans="1:10">
      <c r="A73" s="54">
        <v>37764</v>
      </c>
      <c r="B73" s="51">
        <v>-26.054200000000002</v>
      </c>
      <c r="C73" s="51">
        <v>-25.006599999999999</v>
      </c>
      <c r="D73" s="69">
        <v>101.648</v>
      </c>
      <c r="E73">
        <f t="shared" si="7"/>
        <v>6.4523412412941499E-3</v>
      </c>
      <c r="F73">
        <f t="shared" si="8"/>
        <v>1.435410925196025E-2</v>
      </c>
      <c r="G73">
        <f t="shared" si="9"/>
        <v>1.2038149641208619E-4</v>
      </c>
      <c r="H73" s="71">
        <v>6.4523412412941497</v>
      </c>
      <c r="I73" s="73">
        <v>14.354109251960249</v>
      </c>
      <c r="J73" s="71">
        <v>0.12038149641208619</v>
      </c>
    </row>
    <row r="74" spans="1:10" ht="21" thickBot="1">
      <c r="A74" s="54">
        <v>37764</v>
      </c>
      <c r="B74" s="51">
        <v>-26.054200000000002</v>
      </c>
      <c r="C74" s="51">
        <v>-25.006599999999999</v>
      </c>
      <c r="D74" s="70">
        <v>139.49100000000001</v>
      </c>
      <c r="E74">
        <f t="shared" si="7"/>
        <v>2.5693442414815863E-3</v>
      </c>
      <c r="F74">
        <f t="shared" si="8"/>
        <v>2.6247896005044584E-4</v>
      </c>
      <c r="G74">
        <f t="shared" si="9"/>
        <v>2.8571592838720562E-4</v>
      </c>
      <c r="H74" s="72">
        <v>2.5693442414815864</v>
      </c>
      <c r="I74" s="74">
        <v>0.26247896005044585</v>
      </c>
      <c r="J74" s="72">
        <v>0.28571592838720561</v>
      </c>
    </row>
    <row r="75" spans="1:10">
      <c r="A75" s="54">
        <v>37765</v>
      </c>
      <c r="B75" s="53">
        <v>-21.629100000000001</v>
      </c>
      <c r="C75" s="53">
        <v>-25.001000000000001</v>
      </c>
      <c r="D75" s="69">
        <v>23.26</v>
      </c>
      <c r="E75">
        <f t="shared" si="7"/>
        <v>2.8269737862821865E-3</v>
      </c>
      <c r="F75">
        <f t="shared" si="8"/>
        <v>1.0011634426907239E-2</v>
      </c>
      <c r="G75">
        <f t="shared" si="9"/>
        <v>3.1258736970456662E-4</v>
      </c>
      <c r="H75" s="71">
        <v>2.8269737862821867</v>
      </c>
      <c r="I75" s="73">
        <v>10.011634426907239</v>
      </c>
      <c r="J75" s="71">
        <v>0.31258736970456663</v>
      </c>
    </row>
    <row r="76" spans="1:10">
      <c r="A76" s="54">
        <v>37765</v>
      </c>
      <c r="B76" s="51">
        <v>-21.629100000000001</v>
      </c>
      <c r="C76" s="51">
        <v>-25.001000000000001</v>
      </c>
      <c r="D76" s="69">
        <v>35.136000000000003</v>
      </c>
      <c r="E76">
        <f t="shared" si="7"/>
        <v>2.9008431800024896E-3</v>
      </c>
      <c r="F76">
        <f t="shared" si="8"/>
        <v>1.5292839395396156E-2</v>
      </c>
      <c r="G76">
        <f t="shared" si="9"/>
        <v>2.4007886128638776E-4</v>
      </c>
      <c r="H76" s="71">
        <v>2.9008431800024899</v>
      </c>
      <c r="I76" s="73">
        <v>15.292839395396156</v>
      </c>
      <c r="J76" s="71">
        <v>0.24007886128638775</v>
      </c>
    </row>
    <row r="77" spans="1:10">
      <c r="A77" s="54">
        <v>37765</v>
      </c>
      <c r="B77" s="51">
        <v>-21.629100000000001</v>
      </c>
      <c r="C77" s="51">
        <v>-25.001000000000001</v>
      </c>
      <c r="D77" s="69">
        <v>61.283999999999999</v>
      </c>
      <c r="E77">
        <f t="shared" si="7"/>
        <v>1.1659365467094926E-3</v>
      </c>
      <c r="F77">
        <f t="shared" si="8"/>
        <v>2.0396194658295454E-3</v>
      </c>
      <c r="G77">
        <f t="shared" si="9"/>
        <v>6.5851190967500023E-5</v>
      </c>
      <c r="H77" s="71">
        <v>1.1659365467094926</v>
      </c>
      <c r="I77" s="73">
        <v>2.0396194658295452</v>
      </c>
      <c r="J77" s="71">
        <v>6.5851190967500028E-2</v>
      </c>
    </row>
    <row r="78" spans="1:10">
      <c r="A78" s="54">
        <v>37765</v>
      </c>
      <c r="B78" s="51">
        <v>-21.629100000000001</v>
      </c>
      <c r="C78" s="51">
        <v>-25.001000000000001</v>
      </c>
      <c r="D78" s="69">
        <v>141.95099999999999</v>
      </c>
      <c r="E78">
        <f t="shared" si="7"/>
        <v>6.304031573022953E-4</v>
      </c>
      <c r="F78">
        <f t="shared" si="8"/>
        <v>6.5297747377765264E-4</v>
      </c>
      <c r="G78">
        <f t="shared" si="9"/>
        <v>6.9123598805972305E-5</v>
      </c>
      <c r="H78" s="71">
        <v>0.63040315730229535</v>
      </c>
      <c r="I78" s="73">
        <v>0.65297747377765269</v>
      </c>
      <c r="J78" s="71">
        <v>6.9123598805972311E-2</v>
      </c>
    </row>
    <row r="79" spans="1:10" ht="21" thickBot="1">
      <c r="A79" s="54">
        <v>37765</v>
      </c>
      <c r="B79" s="51">
        <v>-21.629100000000001</v>
      </c>
      <c r="C79" s="51">
        <v>-25.001000000000001</v>
      </c>
      <c r="D79" s="70">
        <v>202.74299999999999</v>
      </c>
      <c r="E79">
        <f t="shared" si="7"/>
        <v>5.3605725486637371E-4</v>
      </c>
      <c r="F79">
        <f t="shared" si="8"/>
        <v>4.4655149585993304E-3</v>
      </c>
      <c r="G79">
        <f t="shared" si="9"/>
        <v>0.10636010356805704</v>
      </c>
      <c r="H79" s="72">
        <v>0.53605725486637368</v>
      </c>
      <c r="I79" s="74">
        <v>4.4655149585993303</v>
      </c>
      <c r="J79" s="72">
        <v>106.36010356805704</v>
      </c>
    </row>
    <row r="80" spans="1:10">
      <c r="A80" s="54">
        <v>37767</v>
      </c>
      <c r="B80" s="53">
        <v>-13.926299999999999</v>
      </c>
      <c r="C80" s="53">
        <v>-24.997499999999999</v>
      </c>
      <c r="D80" s="69">
        <v>1</v>
      </c>
      <c r="E80">
        <f t="shared" si="7"/>
        <v>6.1715864869632011E-4</v>
      </c>
      <c r="F80">
        <f t="shared" si="8"/>
        <v>3.1171579168617317E-3</v>
      </c>
      <c r="G80">
        <f t="shared" si="9"/>
        <v>3.7084651393721091E-4</v>
      </c>
      <c r="H80" s="71">
        <v>0.61715864869632009</v>
      </c>
      <c r="I80" s="73">
        <v>3.1171579168617316</v>
      </c>
      <c r="J80" s="71">
        <v>0.37084651393721091</v>
      </c>
    </row>
    <row r="81" spans="1:10">
      <c r="A81" s="54">
        <v>37767</v>
      </c>
      <c r="B81" s="51">
        <v>-13.926299999999999</v>
      </c>
      <c r="C81" s="51">
        <v>-24.997499999999999</v>
      </c>
      <c r="D81" s="69">
        <v>19.684000000000001</v>
      </c>
      <c r="E81">
        <f t="shared" si="7"/>
        <v>1.074181144260183E-3</v>
      </c>
      <c r="F81">
        <f t="shared" si="8"/>
        <v>7.4544093141250016E-3</v>
      </c>
      <c r="G81">
        <f t="shared" si="9"/>
        <v>1.1376577395072476E-4</v>
      </c>
      <c r="H81" s="71">
        <v>1.074181144260183</v>
      </c>
      <c r="I81" s="73">
        <v>7.4544093141250016</v>
      </c>
      <c r="J81" s="71">
        <v>0.11376577395072476</v>
      </c>
    </row>
    <row r="82" spans="1:10">
      <c r="A82" s="54">
        <v>37767</v>
      </c>
      <c r="B82" s="51">
        <v>-13.926299999999999</v>
      </c>
      <c r="C82" s="51">
        <v>-24.997499999999999</v>
      </c>
      <c r="D82" s="69">
        <v>32.216999999999999</v>
      </c>
      <c r="E82">
        <f t="shared" si="7"/>
        <v>2.8959994450029013E-4</v>
      </c>
      <c r="F82">
        <f t="shared" si="8"/>
        <v>8.3316367813588282E-3</v>
      </c>
      <c r="G82">
        <f t="shared" si="9"/>
        <v>1.288736779602191E-4</v>
      </c>
      <c r="H82" s="71">
        <v>0.28959994450029014</v>
      </c>
      <c r="I82" s="73">
        <v>8.3316367813588279</v>
      </c>
      <c r="J82" s="71">
        <v>0.12887367796021909</v>
      </c>
    </row>
    <row r="83" spans="1:10">
      <c r="A83" s="54">
        <v>37767</v>
      </c>
      <c r="B83" s="51">
        <v>-13.926299999999999</v>
      </c>
      <c r="C83" s="51">
        <v>-24.997499999999999</v>
      </c>
      <c r="D83" s="69">
        <v>56</v>
      </c>
      <c r="E83">
        <f t="shared" si="7"/>
        <v>5.1227756175075247E-4</v>
      </c>
      <c r="F83">
        <f t="shared" si="8"/>
        <v>1.3180670908486982E-2</v>
      </c>
      <c r="G83">
        <f t="shared" si="9"/>
        <v>0</v>
      </c>
      <c r="H83" s="71">
        <v>0.51227756175075245</v>
      </c>
      <c r="I83" s="73">
        <v>13.180670908486983</v>
      </c>
      <c r="J83" s="71">
        <v>0</v>
      </c>
    </row>
    <row r="84" spans="1:10">
      <c r="A84" s="54">
        <v>37767</v>
      </c>
      <c r="B84" s="51">
        <v>-13.926299999999999</v>
      </c>
      <c r="C84" s="51">
        <v>-24.997499999999999</v>
      </c>
      <c r="D84" s="69">
        <v>130.53399999999999</v>
      </c>
      <c r="E84">
        <f t="shared" si="7"/>
        <v>3.4755627453294781E-4</v>
      </c>
      <c r="F84">
        <f t="shared" si="8"/>
        <v>6.8375879239259557E-3</v>
      </c>
      <c r="G84">
        <f t="shared" si="9"/>
        <v>1.696606806741642E-3</v>
      </c>
      <c r="H84" s="71">
        <v>0.3475562745329478</v>
      </c>
      <c r="I84" s="73">
        <v>6.8375879239259554</v>
      </c>
      <c r="J84" s="71">
        <v>1.696606806741642</v>
      </c>
    </row>
    <row r="85" spans="1:10" ht="21" thickBot="1">
      <c r="A85" s="54">
        <v>37767</v>
      </c>
      <c r="B85" s="51">
        <v>-13.926299999999999</v>
      </c>
      <c r="C85" s="51">
        <v>-24.997499999999999</v>
      </c>
      <c r="D85" s="70">
        <v>201.608</v>
      </c>
      <c r="E85">
        <f t="shared" si="7"/>
        <v>1.9048164057102105E-4</v>
      </c>
      <c r="F85">
        <f t="shared" si="8"/>
        <v>7.8896206130365371E-4</v>
      </c>
      <c r="G85">
        <f t="shared" si="9"/>
        <v>3.3144541271907728E-3</v>
      </c>
      <c r="H85" s="72">
        <v>0.19048164057102104</v>
      </c>
      <c r="I85" s="74">
        <v>0.78896206130365376</v>
      </c>
      <c r="J85" s="72">
        <v>3.3144541271907726</v>
      </c>
    </row>
    <row r="86" spans="1:10">
      <c r="A86" s="54">
        <v>37768</v>
      </c>
      <c r="B86" s="53">
        <v>-10.5969</v>
      </c>
      <c r="C86" s="53">
        <v>-24.997199999999999</v>
      </c>
      <c r="D86" s="69">
        <v>1</v>
      </c>
      <c r="E86">
        <f t="shared" si="7"/>
        <v>6.6521416776714752E-4</v>
      </c>
      <c r="F86">
        <f t="shared" si="8"/>
        <v>5.9021606483958301E-3</v>
      </c>
      <c r="G86">
        <f t="shared" si="9"/>
        <v>2.7866141059445734E-4</v>
      </c>
      <c r="H86" s="71">
        <v>0.66521416776714748</v>
      </c>
      <c r="I86" s="73">
        <v>5.9021606483958298</v>
      </c>
      <c r="J86" s="71">
        <v>0.27866141059445731</v>
      </c>
    </row>
    <row r="87" spans="1:10">
      <c r="A87" s="54">
        <v>37768</v>
      </c>
      <c r="B87" s="51">
        <v>-10.5969</v>
      </c>
      <c r="C87" s="51">
        <v>-24.997199999999999</v>
      </c>
      <c r="D87" s="69">
        <v>16.48</v>
      </c>
      <c r="E87">
        <f t="shared" si="7"/>
        <v>7.4999016342628527E-4</v>
      </c>
      <c r="F87">
        <f t="shared" si="8"/>
        <v>7.1842139767575352E-3</v>
      </c>
      <c r="G87">
        <f t="shared" si="9"/>
        <v>5.8731384003189724E-4</v>
      </c>
      <c r="H87" s="71">
        <v>0.74999016342628533</v>
      </c>
      <c r="I87" s="73">
        <v>7.184213976757535</v>
      </c>
      <c r="J87" s="71">
        <v>0.58731384003189724</v>
      </c>
    </row>
    <row r="88" spans="1:10">
      <c r="A88" s="54">
        <v>37768</v>
      </c>
      <c r="B88" s="51">
        <v>-10.5969</v>
      </c>
      <c r="C88" s="51">
        <v>-24.997199999999999</v>
      </c>
      <c r="D88" s="69">
        <v>28.786999999999999</v>
      </c>
      <c r="E88">
        <f t="shared" si="7"/>
        <v>6.8816172524313048E-4</v>
      </c>
      <c r="F88">
        <f t="shared" si="8"/>
        <v>1.6437610782834323E-2</v>
      </c>
      <c r="G88">
        <f t="shared" si="9"/>
        <v>3.5503252595516855E-4</v>
      </c>
      <c r="H88" s="71">
        <v>0.68816172524313046</v>
      </c>
      <c r="I88" s="73">
        <v>16.437610782834323</v>
      </c>
      <c r="J88" s="71">
        <v>0.35503252595516854</v>
      </c>
    </row>
    <row r="89" spans="1:10">
      <c r="A89" s="54">
        <v>37768</v>
      </c>
      <c r="B89" s="51">
        <v>-10.5969</v>
      </c>
      <c r="C89" s="51">
        <v>-24.997199999999999</v>
      </c>
      <c r="D89" s="69">
        <v>48.581000000000003</v>
      </c>
      <c r="E89">
        <f t="shared" si="7"/>
        <v>4.5394454200845289E-4</v>
      </c>
      <c r="F89">
        <f t="shared" si="8"/>
        <v>1.4965235814786941E-2</v>
      </c>
      <c r="G89">
        <f t="shared" si="9"/>
        <v>2.1687874978121354E-4</v>
      </c>
      <c r="H89" s="71">
        <v>0.45394454200845291</v>
      </c>
      <c r="I89" s="73">
        <v>14.965235814786942</v>
      </c>
      <c r="J89" s="71">
        <v>0.21687874978121355</v>
      </c>
    </row>
    <row r="90" spans="1:10">
      <c r="A90" s="54">
        <v>37768</v>
      </c>
      <c r="B90" s="51">
        <v>-10.5969</v>
      </c>
      <c r="C90" s="51">
        <v>-24.997199999999999</v>
      </c>
      <c r="D90" s="69">
        <v>108.697</v>
      </c>
      <c r="E90">
        <f t="shared" si="7"/>
        <v>7.8062039872456637E-4</v>
      </c>
      <c r="F90">
        <f t="shared" si="8"/>
        <v>4.163080103282547E-3</v>
      </c>
      <c r="G90">
        <f t="shared" si="9"/>
        <v>8.4490476814717036E-5</v>
      </c>
      <c r="H90" s="71">
        <v>0.78062039872456634</v>
      </c>
      <c r="I90" s="73">
        <v>4.1630801032825469</v>
      </c>
      <c r="J90" s="71">
        <v>8.4490476814717039E-2</v>
      </c>
    </row>
    <row r="91" spans="1:10" ht="21" thickBot="1">
      <c r="A91" s="54">
        <v>37768</v>
      </c>
      <c r="B91" s="51">
        <v>-10.5969</v>
      </c>
      <c r="C91" s="51">
        <v>-24.997199999999999</v>
      </c>
      <c r="D91" s="70">
        <v>174.49199999999999</v>
      </c>
      <c r="E91">
        <f t="shared" si="7"/>
        <v>4.545563879447042E-4</v>
      </c>
      <c r="F91">
        <f t="shared" si="8"/>
        <v>8.1368155773387755E-4</v>
      </c>
      <c r="G91">
        <f t="shared" si="9"/>
        <v>3.6597972080090664E-3</v>
      </c>
      <c r="H91" s="72">
        <v>0.45455638794470421</v>
      </c>
      <c r="I91" s="74">
        <v>0.81368155773387751</v>
      </c>
      <c r="J91" s="72">
        <v>3.6597972080090662</v>
      </c>
    </row>
    <row r="92" spans="1:10" ht="21" thickBot="1">
      <c r="A92" s="67">
        <v>37769</v>
      </c>
      <c r="B92" s="53">
        <v>-6.4530000000000003</v>
      </c>
      <c r="C92" s="53">
        <v>-24.997800000000002</v>
      </c>
      <c r="D92" s="70">
        <v>77.405000000000001</v>
      </c>
      <c r="E92">
        <f t="shared" si="7"/>
        <v>1.1461887594841269E-2</v>
      </c>
      <c r="F92">
        <f t="shared" si="8"/>
        <v>2.2765635477632246E-2</v>
      </c>
      <c r="G92">
        <f t="shared" si="9"/>
        <v>9.2318428557308164E-4</v>
      </c>
      <c r="H92" s="72">
        <v>11.461887594841269</v>
      </c>
      <c r="I92" s="74">
        <v>22.765635477632244</v>
      </c>
      <c r="J92" s="72">
        <v>0.92318428557308163</v>
      </c>
    </row>
    <row r="93" spans="1:10">
      <c r="A93" s="54">
        <v>37770</v>
      </c>
      <c r="B93" s="53">
        <v>-2.2361</v>
      </c>
      <c r="C93" s="53">
        <v>-24.999099999999999</v>
      </c>
      <c r="D93" s="69">
        <v>1</v>
      </c>
      <c r="E93">
        <f t="shared" ref="E93:E143" si="10">H93/1000</f>
        <v>8.7367444352326289E-4</v>
      </c>
      <c r="F93">
        <f t="shared" ref="F93:F143" si="11">I93/1000</f>
        <v>1.549992401827564E-2</v>
      </c>
      <c r="G93">
        <f t="shared" si="9"/>
        <v>6.2585405616209398E-4</v>
      </c>
      <c r="H93" s="71">
        <v>0.87367444352326284</v>
      </c>
      <c r="I93" s="73">
        <v>15.499924018275639</v>
      </c>
      <c r="J93" s="71">
        <v>0.625854056162094</v>
      </c>
    </row>
    <row r="94" spans="1:10">
      <c r="A94" s="54">
        <v>37770</v>
      </c>
      <c r="B94" s="51">
        <v>-2.2361</v>
      </c>
      <c r="C94" s="51">
        <v>-24.999099999999999</v>
      </c>
      <c r="D94" s="69">
        <v>9.6460000000000008</v>
      </c>
      <c r="E94">
        <f t="shared" si="10"/>
        <v>8.3090946429395019E-4</v>
      </c>
      <c r="F94">
        <f t="shared" si="11"/>
        <v>1.77164635106415E-2</v>
      </c>
      <c r="G94">
        <f t="shared" si="9"/>
        <v>7.4303724662766392E-4</v>
      </c>
      <c r="H94" s="71">
        <v>0.83090946429395018</v>
      </c>
      <c r="I94" s="73">
        <v>17.7164635106415</v>
      </c>
      <c r="J94" s="71">
        <v>0.74303724662766391</v>
      </c>
    </row>
    <row r="95" spans="1:10">
      <c r="A95" s="54">
        <v>37770</v>
      </c>
      <c r="B95" s="51">
        <v>-2.2361</v>
      </c>
      <c r="C95" s="51">
        <v>-24.999099999999999</v>
      </c>
      <c r="D95" s="69">
        <v>20.396000000000001</v>
      </c>
      <c r="E95">
        <f t="shared" si="10"/>
        <v>9.2640263629828815E-4</v>
      </c>
      <c r="F95">
        <f t="shared" si="11"/>
        <v>1.4207626928992599E-2</v>
      </c>
      <c r="G95">
        <f t="shared" si="9"/>
        <v>2.4497599300187396E-4</v>
      </c>
      <c r="H95" s="71">
        <v>0.92640263629828812</v>
      </c>
      <c r="I95" s="73">
        <v>14.2076269289926</v>
      </c>
      <c r="J95" s="71">
        <v>0.24497599300187395</v>
      </c>
    </row>
    <row r="96" spans="1:10">
      <c r="A96" s="54">
        <v>37770</v>
      </c>
      <c r="B96" s="51">
        <v>-2.2361</v>
      </c>
      <c r="C96" s="51">
        <v>-24.999099999999999</v>
      </c>
      <c r="D96" s="69">
        <v>35.798000000000002</v>
      </c>
      <c r="E96">
        <f t="shared" si="10"/>
        <v>1.9486032989821697E-3</v>
      </c>
      <c r="F96">
        <f t="shared" si="11"/>
        <v>1.1320009030046202E-2</v>
      </c>
      <c r="G96">
        <f t="shared" si="9"/>
        <v>2.1151349631226253E-4</v>
      </c>
      <c r="H96" s="71">
        <v>1.9486032989821698</v>
      </c>
      <c r="I96" s="73">
        <v>11.320009030046203</v>
      </c>
      <c r="J96" s="71">
        <v>0.21151349631226254</v>
      </c>
    </row>
    <row r="97" spans="1:10">
      <c r="A97" s="54">
        <v>37770</v>
      </c>
      <c r="B97" s="51">
        <v>-2.2361</v>
      </c>
      <c r="C97" s="51">
        <v>-24.999099999999999</v>
      </c>
      <c r="D97" s="69">
        <v>67.272000000000006</v>
      </c>
      <c r="E97">
        <f t="shared" si="10"/>
        <v>2.4650823381173119E-3</v>
      </c>
      <c r="F97">
        <f t="shared" si="11"/>
        <v>3.2459653906605551E-3</v>
      </c>
      <c r="G97">
        <f t="shared" si="9"/>
        <v>9.692982581866523E-2</v>
      </c>
      <c r="H97" s="71">
        <v>2.4650823381173117</v>
      </c>
      <c r="I97" s="73">
        <v>3.245965390660555</v>
      </c>
      <c r="J97" s="71">
        <v>96.929825818665236</v>
      </c>
    </row>
    <row r="98" spans="1:10" ht="21" thickBot="1">
      <c r="A98" s="54">
        <v>37770</v>
      </c>
      <c r="B98" s="51">
        <v>-2.2361</v>
      </c>
      <c r="C98" s="51">
        <v>-24.999099999999999</v>
      </c>
      <c r="D98" s="70">
        <v>122.13200000000001</v>
      </c>
      <c r="E98">
        <f t="shared" si="10"/>
        <v>8.8698495153806791E-4</v>
      </c>
      <c r="F98">
        <f t="shared" si="11"/>
        <v>4.3156210818248551E-4</v>
      </c>
      <c r="G98">
        <f t="shared" si="9"/>
        <v>0.41294204517815541</v>
      </c>
      <c r="H98" s="72">
        <v>0.88698495153806789</v>
      </c>
      <c r="I98" s="74">
        <v>0.43156210818248553</v>
      </c>
      <c r="J98" s="72">
        <v>412.94204517815541</v>
      </c>
    </row>
    <row r="99" spans="1:10">
      <c r="A99" s="54">
        <v>37774</v>
      </c>
      <c r="B99" s="53">
        <v>12.234299999999999</v>
      </c>
      <c r="C99" s="53">
        <v>-32.286299999999997</v>
      </c>
      <c r="D99" s="69">
        <v>1</v>
      </c>
      <c r="E99">
        <f t="shared" si="10"/>
        <v>4.6198981845767557E-3</v>
      </c>
      <c r="F99">
        <f t="shared" si="11"/>
        <v>5.4104821090400343E-3</v>
      </c>
      <c r="G99">
        <f t="shared" si="9"/>
        <v>8.3622510534612314E-5</v>
      </c>
      <c r="H99" s="71">
        <v>4.6198981845767557</v>
      </c>
      <c r="I99" s="73">
        <v>5.4104821090400339</v>
      </c>
      <c r="J99" s="71">
        <v>8.362251053461231E-2</v>
      </c>
    </row>
    <row r="100" spans="1:10">
      <c r="A100" s="54">
        <v>37774</v>
      </c>
      <c r="B100" s="51">
        <v>12.234299999999999</v>
      </c>
      <c r="C100" s="51">
        <v>-32.286299999999997</v>
      </c>
      <c r="D100" s="69">
        <v>8.2089999999999996</v>
      </c>
      <c r="E100">
        <f t="shared" si="10"/>
        <v>1.8569375427143994E-3</v>
      </c>
      <c r="F100">
        <f t="shared" si="11"/>
        <v>5.4599117069842936E-3</v>
      </c>
      <c r="G100">
        <f t="shared" si="9"/>
        <v>4.376928901370912E-4</v>
      </c>
      <c r="H100" s="71">
        <v>1.8569375427143995</v>
      </c>
      <c r="I100" s="73">
        <v>5.4599117069842933</v>
      </c>
      <c r="J100" s="71">
        <v>0.43769289013709123</v>
      </c>
    </row>
    <row r="101" spans="1:10">
      <c r="A101" s="54">
        <v>37774</v>
      </c>
      <c r="B101" s="51">
        <v>12.234299999999999</v>
      </c>
      <c r="C101" s="51">
        <v>-32.286299999999997</v>
      </c>
      <c r="D101" s="69">
        <v>15.717000000000001</v>
      </c>
      <c r="E101">
        <f t="shared" si="10"/>
        <v>3.3166829632277502E-3</v>
      </c>
      <c r="F101">
        <f t="shared" si="11"/>
        <v>5.8536517122451158E-3</v>
      </c>
      <c r="G101">
        <f t="shared" si="9"/>
        <v>2.1957836806005222E-4</v>
      </c>
      <c r="H101" s="71">
        <v>3.3166829632277501</v>
      </c>
      <c r="I101" s="73">
        <v>5.8536517122451155</v>
      </c>
      <c r="J101" s="71">
        <v>0.21957836806005221</v>
      </c>
    </row>
    <row r="102" spans="1:10">
      <c r="A102" s="54">
        <v>37774</v>
      </c>
      <c r="B102" s="51">
        <v>12.234299999999999</v>
      </c>
      <c r="C102" s="51">
        <v>-32.286299999999997</v>
      </c>
      <c r="D102" s="69">
        <v>27.905999999999999</v>
      </c>
      <c r="E102">
        <f t="shared" si="10"/>
        <v>1.6050421263677165E-3</v>
      </c>
      <c r="F102">
        <f t="shared" si="11"/>
        <v>2.5289509328043657E-3</v>
      </c>
      <c r="G102">
        <f t="shared" si="9"/>
        <v>3.7295702000937934E-4</v>
      </c>
      <c r="H102" s="71">
        <v>1.6050421263677166</v>
      </c>
      <c r="I102" s="73">
        <v>2.5289509328043658</v>
      </c>
      <c r="J102" s="71">
        <v>0.37295702000937936</v>
      </c>
    </row>
    <row r="103" spans="1:10">
      <c r="A103" s="54">
        <v>37774</v>
      </c>
      <c r="B103" s="51">
        <v>12.234299999999999</v>
      </c>
      <c r="C103" s="51">
        <v>-32.286299999999997</v>
      </c>
      <c r="D103" s="69">
        <v>65.626999999999995</v>
      </c>
      <c r="E103">
        <f t="shared" si="10"/>
        <v>1.190106291084785E-3</v>
      </c>
      <c r="F103">
        <f t="shared" si="11"/>
        <v>1.4303234499692616E-3</v>
      </c>
      <c r="G103">
        <f t="shared" si="9"/>
        <v>8.3178887604805352E-3</v>
      </c>
      <c r="H103" s="71">
        <v>1.1901062910847851</v>
      </c>
      <c r="I103" s="73">
        <v>1.4303234499692616</v>
      </c>
      <c r="J103" s="71">
        <v>8.3178887604805354</v>
      </c>
    </row>
    <row r="104" spans="1:10" ht="21" thickBot="1">
      <c r="A104" s="54">
        <v>37774</v>
      </c>
      <c r="B104" s="51">
        <v>12.234299999999999</v>
      </c>
      <c r="C104" s="51">
        <v>-32.286299999999997</v>
      </c>
      <c r="D104" s="70">
        <v>98.093000000000004</v>
      </c>
      <c r="E104">
        <f t="shared" si="10"/>
        <v>7.3387959366295397E-4</v>
      </c>
      <c r="F104">
        <f t="shared" si="11"/>
        <v>7.550971528863707E-4</v>
      </c>
      <c r="G104">
        <f t="shared" si="9"/>
        <v>0</v>
      </c>
      <c r="H104" s="72">
        <v>0.73387959366295397</v>
      </c>
      <c r="I104" s="74">
        <v>0.75509715288637069</v>
      </c>
      <c r="J104" s="72">
        <v>0</v>
      </c>
    </row>
    <row r="105" spans="1:10" ht="21" thickBot="1">
      <c r="A105" s="67">
        <v>37775</v>
      </c>
      <c r="B105" s="68">
        <v>14.4251</v>
      </c>
      <c r="C105" s="68">
        <v>-33.607300000000002</v>
      </c>
      <c r="D105" s="70">
        <v>100.989</v>
      </c>
      <c r="E105">
        <f t="shared" si="10"/>
        <v>3.755844496825081E-3</v>
      </c>
      <c r="F105">
        <f t="shared" si="11"/>
        <v>1.7386503191796669E-3</v>
      </c>
      <c r="G105">
        <f t="shared" si="9"/>
        <v>1.1711392851240176E-3</v>
      </c>
      <c r="H105" s="72">
        <v>3.7558444968250808</v>
      </c>
      <c r="I105" s="74">
        <v>1.7386503191796669</v>
      </c>
      <c r="J105" s="72">
        <v>1.1711392851240177</v>
      </c>
    </row>
    <row r="106" spans="1:10">
      <c r="A106" s="54">
        <v>37776</v>
      </c>
      <c r="B106" s="53">
        <v>18.0365</v>
      </c>
      <c r="C106" s="53">
        <v>-35.829300000000003</v>
      </c>
      <c r="D106" s="69">
        <v>1</v>
      </c>
      <c r="E106">
        <f t="shared" si="10"/>
        <v>5.8061761944992749E-3</v>
      </c>
      <c r="F106">
        <f t="shared" si="11"/>
        <v>2.5706308210041396E-3</v>
      </c>
      <c r="G106">
        <f t="shared" si="9"/>
        <v>1.0386085633170133E-4</v>
      </c>
      <c r="H106" s="71">
        <v>5.8061761944992751</v>
      </c>
      <c r="I106" s="73">
        <v>2.5706308210041398</v>
      </c>
      <c r="J106" s="71">
        <v>0.10386085633170133</v>
      </c>
    </row>
    <row r="107" spans="1:10">
      <c r="A107" s="54">
        <v>37776</v>
      </c>
      <c r="B107" s="51">
        <v>18.0365</v>
      </c>
      <c r="C107" s="51">
        <v>-35.829300000000003</v>
      </c>
      <c r="D107" s="69">
        <v>13.117000000000001</v>
      </c>
      <c r="E107">
        <f t="shared" si="10"/>
        <v>6.8747179817591399E-3</v>
      </c>
      <c r="F107">
        <f t="shared" si="11"/>
        <v>2.6552059707391027E-3</v>
      </c>
      <c r="G107">
        <f t="shared" si="9"/>
        <v>2.9611889738212407E-4</v>
      </c>
      <c r="H107" s="71">
        <v>6.8747179817591402</v>
      </c>
      <c r="I107" s="73">
        <v>2.6552059707391029</v>
      </c>
      <c r="J107" s="71">
        <v>0.29611889738212405</v>
      </c>
    </row>
    <row r="108" spans="1:10">
      <c r="A108" s="54">
        <v>37776</v>
      </c>
      <c r="B108" s="51">
        <v>18.0365</v>
      </c>
      <c r="C108" s="51">
        <v>-35.829300000000003</v>
      </c>
      <c r="D108" s="69">
        <v>25.132000000000001</v>
      </c>
      <c r="E108">
        <f t="shared" si="10"/>
        <v>3.7743197523467595E-3</v>
      </c>
      <c r="F108">
        <f t="shared" si="11"/>
        <v>3.4124320165382825E-2</v>
      </c>
      <c r="G108">
        <f t="shared" si="9"/>
        <v>1.802099760185494E-4</v>
      </c>
      <c r="H108" s="71">
        <v>3.7743197523467593</v>
      </c>
      <c r="I108" s="73">
        <v>34.124320165382827</v>
      </c>
      <c r="J108" s="71">
        <v>0.18020997601854941</v>
      </c>
    </row>
    <row r="109" spans="1:10">
      <c r="A109" s="54">
        <v>37776</v>
      </c>
      <c r="B109" s="51">
        <v>18.0365</v>
      </c>
      <c r="C109" s="51">
        <v>-35.829300000000003</v>
      </c>
      <c r="D109" s="69">
        <v>42.683999999999997</v>
      </c>
      <c r="E109">
        <f t="shared" si="10"/>
        <v>1.855166770384356E-3</v>
      </c>
      <c r="F109">
        <f t="shared" si="11"/>
        <v>8.0694843408116411E-3</v>
      </c>
      <c r="G109">
        <f t="shared" si="9"/>
        <v>1.7259241141034387E-4</v>
      </c>
      <c r="H109" s="71">
        <v>1.855166770384356</v>
      </c>
      <c r="I109" s="73">
        <v>8.0694843408116412</v>
      </c>
      <c r="J109" s="71">
        <v>0.17259241141034387</v>
      </c>
    </row>
    <row r="110" spans="1:10">
      <c r="A110" s="54">
        <v>37776</v>
      </c>
      <c r="B110" s="51">
        <v>18.0365</v>
      </c>
      <c r="C110" s="51">
        <v>-35.829300000000003</v>
      </c>
      <c r="D110" s="69">
        <v>101.23699999999999</v>
      </c>
      <c r="E110">
        <f t="shared" si="10"/>
        <v>6.5936488267099944E-3</v>
      </c>
      <c r="F110">
        <f t="shared" si="11"/>
        <v>4.2103118713115112E-3</v>
      </c>
      <c r="G110">
        <f t="shared" si="9"/>
        <v>2.9100886631687164E-4</v>
      </c>
      <c r="H110" s="71">
        <v>6.5936488267099946</v>
      </c>
      <c r="I110" s="73">
        <v>4.2103118713115109</v>
      </c>
      <c r="J110" s="71">
        <v>0.29100886631687162</v>
      </c>
    </row>
    <row r="111" spans="1:10" ht="21" thickBot="1">
      <c r="A111" s="54">
        <v>37776</v>
      </c>
      <c r="B111" s="51">
        <v>18.0365</v>
      </c>
      <c r="C111" s="51">
        <v>-35.829300000000003</v>
      </c>
      <c r="D111" s="70">
        <v>151.83799999999999</v>
      </c>
      <c r="E111">
        <f t="shared" si="10"/>
        <v>3.9804829774821365E-3</v>
      </c>
      <c r="F111">
        <f t="shared" si="11"/>
        <v>7.0083635505460826E-4</v>
      </c>
      <c r="G111">
        <f t="shared" si="9"/>
        <v>1.0406405226474305E-2</v>
      </c>
      <c r="H111" s="72">
        <v>3.9804829774821364</v>
      </c>
      <c r="I111" s="74">
        <v>0.70083635505460828</v>
      </c>
      <c r="J111" s="72">
        <v>10.406405226474305</v>
      </c>
    </row>
    <row r="112" spans="1:10" ht="21" thickBot="1">
      <c r="A112" s="67">
        <v>38873</v>
      </c>
      <c r="B112" s="68">
        <v>21.414000000000001</v>
      </c>
      <c r="C112" s="68">
        <v>-35.802199999999999</v>
      </c>
      <c r="D112" s="70">
        <v>116.715</v>
      </c>
      <c r="E112">
        <f t="shared" si="10"/>
        <v>7.3062527936616148E-3</v>
      </c>
      <c r="F112">
        <f t="shared" si="11"/>
        <v>1.7728646282248562E-2</v>
      </c>
      <c r="G112">
        <f t="shared" si="9"/>
        <v>3.3439248108582383E-4</v>
      </c>
      <c r="H112" s="72">
        <v>7.3062527936616144</v>
      </c>
      <c r="I112" s="74">
        <v>17.728646282248562</v>
      </c>
      <c r="J112" s="72">
        <v>0.33439248108582381</v>
      </c>
    </row>
    <row r="113" spans="1:10">
      <c r="A113" s="54">
        <v>37778</v>
      </c>
      <c r="B113" s="53">
        <v>24.328700000000001</v>
      </c>
      <c r="C113" s="53">
        <v>-32.573799999999999</v>
      </c>
      <c r="D113" s="69">
        <v>1</v>
      </c>
      <c r="E113">
        <f t="shared" si="10"/>
        <v>1.4350283533190893E-3</v>
      </c>
      <c r="F113">
        <f t="shared" si="11"/>
        <v>2.7643982539672057E-3</v>
      </c>
      <c r="G113">
        <f t="shared" si="9"/>
        <v>5.7219807448547595E-5</v>
      </c>
      <c r="H113" s="71">
        <v>1.4350283533190893</v>
      </c>
      <c r="I113" s="73">
        <v>2.7643982539672058</v>
      </c>
      <c r="J113" s="71">
        <v>5.7219807448547592E-2</v>
      </c>
    </row>
    <row r="114" spans="1:10">
      <c r="A114" s="54">
        <v>37778</v>
      </c>
      <c r="B114" s="51">
        <v>24.328700000000001</v>
      </c>
      <c r="C114" s="51">
        <v>-32.573799999999999</v>
      </c>
      <c r="D114" s="69">
        <v>19.276</v>
      </c>
      <c r="E114">
        <f t="shared" si="10"/>
        <v>1.5414180600499356E-3</v>
      </c>
      <c r="F114">
        <f t="shared" si="11"/>
        <v>1.0008279605761523E-2</v>
      </c>
      <c r="G114">
        <f t="shared" si="9"/>
        <v>1.7889943373275343E-4</v>
      </c>
      <c r="H114" s="71">
        <v>1.5414180600499356</v>
      </c>
      <c r="I114" s="73">
        <v>10.008279605761523</v>
      </c>
      <c r="J114" s="71">
        <v>0.17889943373275344</v>
      </c>
    </row>
    <row r="115" spans="1:10">
      <c r="A115" s="54">
        <v>37778</v>
      </c>
      <c r="B115" s="51">
        <v>24.328700000000001</v>
      </c>
      <c r="C115" s="51">
        <v>-32.573799999999999</v>
      </c>
      <c r="D115" s="69">
        <v>35.572000000000003</v>
      </c>
      <c r="E115">
        <f t="shared" si="10"/>
        <v>1.5159913055803821E-3</v>
      </c>
      <c r="F115">
        <f t="shared" si="11"/>
        <v>6.4062675568248304E-3</v>
      </c>
      <c r="G115">
        <f t="shared" si="9"/>
        <v>2.5137165791621474E-4</v>
      </c>
      <c r="H115" s="71">
        <v>1.5159913055803822</v>
      </c>
      <c r="I115" s="73">
        <v>6.4062675568248304</v>
      </c>
      <c r="J115" s="71">
        <v>0.25137165791621474</v>
      </c>
    </row>
    <row r="116" spans="1:10">
      <c r="A116" s="54">
        <v>37778</v>
      </c>
      <c r="B116" s="51">
        <v>24.328700000000001</v>
      </c>
      <c r="C116" s="51">
        <v>-32.573799999999999</v>
      </c>
      <c r="D116" s="69">
        <v>61.872</v>
      </c>
      <c r="E116">
        <f t="shared" si="10"/>
        <v>2.196001337628704E-3</v>
      </c>
      <c r="F116">
        <f t="shared" si="11"/>
        <v>1.1489528261943101E-2</v>
      </c>
      <c r="G116">
        <f t="shared" si="9"/>
        <v>8.392410928816793E-5</v>
      </c>
      <c r="H116" s="71">
        <v>2.196001337628704</v>
      </c>
      <c r="I116" s="73">
        <v>11.489528261943102</v>
      </c>
      <c r="J116" s="71">
        <v>8.3924109288167931E-2</v>
      </c>
    </row>
    <row r="117" spans="1:10">
      <c r="A117" s="54">
        <v>37778</v>
      </c>
      <c r="B117" s="51">
        <v>24.328700000000001</v>
      </c>
      <c r="C117" s="51">
        <v>-32.573799999999999</v>
      </c>
      <c r="D117" s="69">
        <v>123.93</v>
      </c>
      <c r="E117">
        <f t="shared" si="10"/>
        <v>5.1970697547338153E-4</v>
      </c>
      <c r="F117">
        <f t="shared" si="11"/>
        <v>4.2309106846612219E-3</v>
      </c>
      <c r="G117">
        <f t="shared" si="9"/>
        <v>1.5907688540572166E-4</v>
      </c>
      <c r="H117" s="71">
        <v>0.51970697547338152</v>
      </c>
      <c r="I117" s="73">
        <v>4.2309106846612217</v>
      </c>
      <c r="J117" s="71">
        <v>0.15907688540572165</v>
      </c>
    </row>
    <row r="118" spans="1:10" ht="21" thickBot="1">
      <c r="A118" s="54">
        <v>37778</v>
      </c>
      <c r="B118" s="51">
        <v>24.328700000000001</v>
      </c>
      <c r="C118" s="51">
        <v>-32.573799999999999</v>
      </c>
      <c r="D118" s="70">
        <v>192.95400000000001</v>
      </c>
      <c r="E118">
        <f t="shared" si="10"/>
        <v>3.5991491841729097E-4</v>
      </c>
      <c r="F118">
        <f t="shared" si="11"/>
        <v>8.5637314377931301E-4</v>
      </c>
      <c r="G118">
        <f t="shared" si="9"/>
        <v>7.9513266502418706E-3</v>
      </c>
      <c r="H118" s="72">
        <v>0.35991491841729095</v>
      </c>
      <c r="I118" s="74">
        <v>0.85637314377931306</v>
      </c>
      <c r="J118" s="72">
        <v>7.9513266502418709</v>
      </c>
    </row>
    <row r="119" spans="1:10">
      <c r="A119" s="54">
        <v>37779</v>
      </c>
      <c r="B119" s="51">
        <v>26.460699999999999</v>
      </c>
      <c r="C119" s="51">
        <v>-30.162099999999999</v>
      </c>
      <c r="D119" s="69">
        <v>83.555999999999997</v>
      </c>
      <c r="E119">
        <f t="shared" si="10"/>
        <v>2.1104823647395476E-2</v>
      </c>
      <c r="F119">
        <f t="shared" si="11"/>
        <v>4.8068212066450795E-2</v>
      </c>
      <c r="G119">
        <f t="shared" si="9"/>
        <v>1.2148559630447576E-3</v>
      </c>
      <c r="H119" s="71">
        <v>21.104823647395477</v>
      </c>
      <c r="I119" s="73">
        <v>48.068212066450798</v>
      </c>
      <c r="J119" s="71">
        <v>1.2148559630447575</v>
      </c>
    </row>
    <row r="120" spans="1:10">
      <c r="A120" s="54">
        <v>37781</v>
      </c>
      <c r="B120" s="53">
        <v>32.6815</v>
      </c>
      <c r="C120" s="53">
        <v>-22.866099999999999</v>
      </c>
      <c r="D120" s="69">
        <v>1</v>
      </c>
      <c r="E120">
        <f t="shared" si="10"/>
        <v>2.3453309562235522E-3</v>
      </c>
      <c r="F120">
        <f t="shared" si="11"/>
        <v>1.6072581721297155E-3</v>
      </c>
      <c r="G120">
        <f t="shared" si="9"/>
        <v>7.0682043430727112E-5</v>
      </c>
      <c r="H120" s="71">
        <v>2.345330956223552</v>
      </c>
      <c r="I120" s="73">
        <v>1.6072581721297154</v>
      </c>
      <c r="J120" s="71">
        <v>7.0682043430727107E-2</v>
      </c>
    </row>
    <row r="121" spans="1:10">
      <c r="A121" s="54">
        <v>37781</v>
      </c>
      <c r="B121" s="51">
        <v>32.6815</v>
      </c>
      <c r="C121" s="51">
        <v>-22.866099999999999</v>
      </c>
      <c r="D121" s="69">
        <v>20.631</v>
      </c>
      <c r="E121">
        <f t="shared" si="10"/>
        <v>1.8424126635194944E-3</v>
      </c>
      <c r="F121">
        <f t="shared" si="11"/>
        <v>1.2906324321594519E-2</v>
      </c>
      <c r="G121">
        <f t="shared" si="9"/>
        <v>3.4152483373131679E-4</v>
      </c>
      <c r="H121" s="71">
        <v>1.8424126635194944</v>
      </c>
      <c r="I121" s="73">
        <v>12.906324321594518</v>
      </c>
      <c r="J121" s="71">
        <v>0.34152483373131681</v>
      </c>
    </row>
    <row r="122" spans="1:10">
      <c r="A122" s="54">
        <v>37781</v>
      </c>
      <c r="B122" s="51">
        <v>32.6815</v>
      </c>
      <c r="C122" s="51">
        <v>-22.866099999999999</v>
      </c>
      <c r="D122" s="69">
        <v>37.311</v>
      </c>
      <c r="E122">
        <f t="shared" si="10"/>
        <v>2.1310273850119366E-3</v>
      </c>
      <c r="F122">
        <f t="shared" si="11"/>
        <v>4.8136547474844664E-3</v>
      </c>
      <c r="G122">
        <f t="shared" si="9"/>
        <v>1.3545084107647519E-4</v>
      </c>
      <c r="H122" s="71">
        <v>2.1310273850119366</v>
      </c>
      <c r="I122" s="73">
        <v>4.813654747484466</v>
      </c>
      <c r="J122" s="71">
        <v>0.13545084107647518</v>
      </c>
    </row>
    <row r="123" spans="1:10">
      <c r="A123" s="54">
        <v>37781</v>
      </c>
      <c r="B123" s="51">
        <v>32.6815</v>
      </c>
      <c r="C123" s="51">
        <v>-22.866099999999999</v>
      </c>
      <c r="D123" s="69">
        <v>63.786999999999999</v>
      </c>
      <c r="E123">
        <f t="shared" si="10"/>
        <v>6.7751731822926931E-4</v>
      </c>
      <c r="F123">
        <f t="shared" si="11"/>
        <v>3.0301780747404388E-3</v>
      </c>
      <c r="G123">
        <f t="shared" si="9"/>
        <v>1.3407555887035857E-4</v>
      </c>
      <c r="H123" s="71">
        <v>0.67751731822926931</v>
      </c>
      <c r="I123" s="73">
        <v>3.030178074740439</v>
      </c>
      <c r="J123" s="71">
        <v>0.13407555887035857</v>
      </c>
    </row>
    <row r="124" spans="1:10">
      <c r="A124" s="54">
        <v>37781</v>
      </c>
      <c r="B124" s="51">
        <v>32.6815</v>
      </c>
      <c r="C124" s="51">
        <v>-22.866099999999999</v>
      </c>
      <c r="D124" s="69">
        <v>138</v>
      </c>
      <c r="E124">
        <f t="shared" si="10"/>
        <v>1.8748337530974978E-3</v>
      </c>
      <c r="F124">
        <f t="shared" si="11"/>
        <v>1.7544383741746961E-3</v>
      </c>
      <c r="G124">
        <f t="shared" si="9"/>
        <v>2.7080014520877732E-4</v>
      </c>
      <c r="H124" s="71">
        <v>1.8748337530974979</v>
      </c>
      <c r="I124" s="73">
        <v>1.7544383741746961</v>
      </c>
      <c r="J124" s="71">
        <v>0.27080014520877732</v>
      </c>
    </row>
    <row r="125" spans="1:10" ht="21" thickBot="1">
      <c r="A125" s="54">
        <v>37781</v>
      </c>
      <c r="B125" s="51">
        <v>32.6815</v>
      </c>
      <c r="C125" s="51">
        <v>-22.866099999999999</v>
      </c>
      <c r="D125" s="70">
        <v>203.28800000000001</v>
      </c>
      <c r="E125">
        <f t="shared" si="10"/>
        <v>1.3618913403604296E-3</v>
      </c>
      <c r="F125">
        <f t="shared" si="11"/>
        <v>1.181231350322711E-3</v>
      </c>
      <c r="G125">
        <f t="shared" si="9"/>
        <v>2.9518181621108454E-2</v>
      </c>
      <c r="H125" s="72">
        <v>1.3618913403604296</v>
      </c>
      <c r="I125" s="74">
        <v>1.181231350322711</v>
      </c>
      <c r="J125" s="72">
        <v>29.518181621108454</v>
      </c>
    </row>
    <row r="126" spans="1:10">
      <c r="A126" s="54">
        <v>37782</v>
      </c>
      <c r="B126" s="53">
        <v>36.735799999999998</v>
      </c>
      <c r="C126" s="53">
        <v>-20.8141</v>
      </c>
      <c r="D126" s="69">
        <v>1</v>
      </c>
      <c r="E126">
        <f t="shared" si="10"/>
        <v>4.1233634455133186E-3</v>
      </c>
      <c r="F126">
        <f t="shared" si="11"/>
        <v>2.13021913376002E-3</v>
      </c>
      <c r="G126">
        <f t="shared" si="9"/>
        <v>2.7444624855514762E-4</v>
      </c>
      <c r="H126" s="71">
        <v>4.123363445513319</v>
      </c>
      <c r="I126" s="73">
        <v>2.1302191337600198</v>
      </c>
      <c r="J126" s="71">
        <v>0.2744462485551476</v>
      </c>
    </row>
    <row r="127" spans="1:10">
      <c r="A127" s="54">
        <v>37782</v>
      </c>
      <c r="B127" s="51">
        <v>36.735799999999998</v>
      </c>
      <c r="C127" s="51">
        <v>-20.8141</v>
      </c>
      <c r="D127" s="69">
        <v>10.375999999999999</v>
      </c>
      <c r="E127">
        <f t="shared" si="10"/>
        <v>4.337419502615349E-3</v>
      </c>
      <c r="F127">
        <f t="shared" si="11"/>
        <v>2.1635666596743746E-2</v>
      </c>
      <c r="G127">
        <f t="shared" si="9"/>
        <v>9.9109675373543725E-4</v>
      </c>
      <c r="H127" s="71">
        <v>4.337419502615349</v>
      </c>
      <c r="I127" s="73">
        <v>21.635666596743746</v>
      </c>
      <c r="J127" s="71">
        <v>0.99109675373543726</v>
      </c>
    </row>
    <row r="128" spans="1:10">
      <c r="A128" s="54">
        <v>37782</v>
      </c>
      <c r="B128" s="51">
        <v>36.735799999999998</v>
      </c>
      <c r="C128" s="51">
        <v>-20.8141</v>
      </c>
      <c r="D128" s="69">
        <v>19.901</v>
      </c>
      <c r="E128">
        <f t="shared" si="10"/>
        <v>9.9009390504914158E-3</v>
      </c>
      <c r="F128">
        <f t="shared" si="11"/>
        <v>2.7328345046684913E-2</v>
      </c>
      <c r="G128">
        <f t="shared" si="9"/>
        <v>3.3842679847070163E-3</v>
      </c>
      <c r="H128" s="71">
        <v>9.9009390504914165</v>
      </c>
      <c r="I128" s="73">
        <v>27.328345046684912</v>
      </c>
      <c r="J128" s="71">
        <v>3.3842679847070163</v>
      </c>
    </row>
    <row r="129" spans="1:10">
      <c r="A129" s="54">
        <v>37782</v>
      </c>
      <c r="B129" s="51">
        <v>36.735799999999998</v>
      </c>
      <c r="C129" s="51">
        <v>-20.8141</v>
      </c>
      <c r="D129" s="69">
        <v>37.021000000000001</v>
      </c>
      <c r="E129">
        <f t="shared" si="10"/>
        <v>1.7179526850676044E-2</v>
      </c>
      <c r="F129">
        <f t="shared" si="11"/>
        <v>1.7438991478619471E-2</v>
      </c>
      <c r="G129">
        <f t="shared" si="9"/>
        <v>4.3424544098530681E-3</v>
      </c>
      <c r="H129" s="71">
        <v>17.179526850676044</v>
      </c>
      <c r="I129" s="73">
        <v>17.438991478619471</v>
      </c>
      <c r="J129" s="71">
        <v>4.342454409853068</v>
      </c>
    </row>
    <row r="130" spans="1:10">
      <c r="A130" s="54">
        <v>37782</v>
      </c>
      <c r="B130" s="51">
        <v>36.735799999999998</v>
      </c>
      <c r="C130" s="51">
        <v>-20.8141</v>
      </c>
      <c r="D130" s="69">
        <v>83.555999999999997</v>
      </c>
      <c r="E130">
        <f t="shared" si="10"/>
        <v>1.0391067693615095E-2</v>
      </c>
      <c r="F130">
        <f t="shared" si="11"/>
        <v>1.1931532999135621E-2</v>
      </c>
      <c r="G130">
        <f t="shared" si="9"/>
        <v>1.8409084445779238E-3</v>
      </c>
      <c r="H130" s="71">
        <v>10.391067693615094</v>
      </c>
      <c r="I130" s="73">
        <v>11.931532999135621</v>
      </c>
      <c r="J130" s="71">
        <v>1.8409084445779238</v>
      </c>
    </row>
    <row r="131" spans="1:10" ht="21" thickBot="1">
      <c r="A131" s="54">
        <v>37782</v>
      </c>
      <c r="B131" s="51">
        <v>36.735799999999998</v>
      </c>
      <c r="C131" s="51">
        <v>-20.8141</v>
      </c>
      <c r="D131" s="70">
        <v>122.071</v>
      </c>
      <c r="E131">
        <f t="shared" si="10"/>
        <v>6.7524129448618729E-3</v>
      </c>
      <c r="F131">
        <f t="shared" si="11"/>
        <v>1.3416672840131012E-3</v>
      </c>
      <c r="G131">
        <f t="shared" ref="G131:G143" si="12">J131/1000</f>
        <v>4.1847674580545523E-2</v>
      </c>
      <c r="H131" s="72">
        <v>6.7524129448618728</v>
      </c>
      <c r="I131" s="74">
        <v>1.3416672840131012</v>
      </c>
      <c r="J131" s="72">
        <v>41.847674580545522</v>
      </c>
    </row>
    <row r="132" spans="1:10">
      <c r="A132" s="54">
        <v>37783</v>
      </c>
      <c r="B132" s="53">
        <v>40.222900000000003</v>
      </c>
      <c r="C132" s="53">
        <v>-20.2379</v>
      </c>
      <c r="D132" s="69">
        <v>1</v>
      </c>
      <c r="E132">
        <f t="shared" si="10"/>
        <v>7.5499293520978608E-3</v>
      </c>
      <c r="F132">
        <f t="shared" si="11"/>
        <v>1.3386463836602656E-2</v>
      </c>
      <c r="G132">
        <f t="shared" si="12"/>
        <v>8.1505110560949469E-4</v>
      </c>
      <c r="H132" s="71">
        <v>7.5499293520978608</v>
      </c>
      <c r="I132" s="73">
        <v>13.386463836602656</v>
      </c>
      <c r="J132" s="71">
        <v>0.81505110560949467</v>
      </c>
    </row>
    <row r="133" spans="1:10">
      <c r="A133" s="54">
        <v>37783</v>
      </c>
      <c r="B133" s="51">
        <v>40.222900000000003</v>
      </c>
      <c r="C133" s="51">
        <v>-20.2379</v>
      </c>
      <c r="D133" s="69">
        <v>6.1890000000000001</v>
      </c>
      <c r="E133">
        <f t="shared" si="10"/>
        <v>1.2768892440021641E-2</v>
      </c>
      <c r="F133">
        <f t="shared" si="11"/>
        <v>1.9684432061571135E-2</v>
      </c>
      <c r="G133">
        <f t="shared" si="12"/>
        <v>1.315271797089365E-3</v>
      </c>
      <c r="H133" s="71">
        <v>12.768892440021641</v>
      </c>
      <c r="I133" s="73">
        <v>19.684432061571137</v>
      </c>
      <c r="J133" s="71">
        <v>1.315271797089365</v>
      </c>
    </row>
    <row r="134" spans="1:10">
      <c r="A134" s="54">
        <v>37783</v>
      </c>
      <c r="B134" s="51">
        <v>40.222900000000003</v>
      </c>
      <c r="C134" s="51">
        <v>-20.2379</v>
      </c>
      <c r="D134" s="69">
        <v>11.045</v>
      </c>
      <c r="E134">
        <f t="shared" si="10"/>
        <v>7.1084171991426354E-4</v>
      </c>
      <c r="F134">
        <f t="shared" si="11"/>
        <v>8.0473814484994695E-3</v>
      </c>
      <c r="G134">
        <f t="shared" si="12"/>
        <v>3.2415161935086599E-3</v>
      </c>
      <c r="H134" s="71">
        <v>0.71084171991426359</v>
      </c>
      <c r="I134" s="73">
        <v>8.0473814484994701</v>
      </c>
      <c r="J134" s="71">
        <v>3.24151619350866</v>
      </c>
    </row>
    <row r="135" spans="1:10">
      <c r="A135" s="54">
        <v>37783</v>
      </c>
      <c r="B135" s="51">
        <v>40.222900000000003</v>
      </c>
      <c r="C135" s="51">
        <v>-20.2379</v>
      </c>
      <c r="D135" s="69">
        <v>21.666</v>
      </c>
      <c r="E135">
        <f t="shared" si="10"/>
        <v>2.0453072820761546E-3</v>
      </c>
      <c r="F135">
        <f t="shared" si="11"/>
        <v>1.691412982157453E-3</v>
      </c>
      <c r="G135">
        <f t="shared" si="12"/>
        <v>3.6860897586945447E-3</v>
      </c>
      <c r="H135" s="71">
        <v>2.0453072820761546</v>
      </c>
      <c r="I135" s="73">
        <v>1.6914129821574531</v>
      </c>
      <c r="J135" s="71">
        <v>3.6860897586945449</v>
      </c>
    </row>
    <row r="136" spans="1:10">
      <c r="A136" s="54">
        <v>37783</v>
      </c>
      <c r="B136" s="51">
        <v>40.222900000000003</v>
      </c>
      <c r="C136" s="51">
        <v>-20.2379</v>
      </c>
      <c r="D136" s="69">
        <v>44.243000000000002</v>
      </c>
      <c r="E136">
        <f t="shared" si="10"/>
        <v>3.635954228244944E-3</v>
      </c>
      <c r="F136">
        <f t="shared" si="11"/>
        <v>1.1782808666614196E-3</v>
      </c>
      <c r="G136">
        <f t="shared" si="12"/>
        <v>8.806064385266054E-3</v>
      </c>
      <c r="H136" s="71">
        <v>3.6359542282449442</v>
      </c>
      <c r="I136" s="73">
        <v>1.1782808666614195</v>
      </c>
      <c r="J136" s="71">
        <v>8.8060643852660547</v>
      </c>
    </row>
    <row r="137" spans="1:10" ht="21" thickBot="1">
      <c r="A137" s="54">
        <v>37783</v>
      </c>
      <c r="B137" s="51">
        <v>40.222900000000003</v>
      </c>
      <c r="C137" s="51">
        <v>-20.2379</v>
      </c>
      <c r="D137" s="70">
        <v>66.438000000000002</v>
      </c>
      <c r="E137">
        <f t="shared" si="10"/>
        <v>1.0355221285486882E-2</v>
      </c>
      <c r="F137">
        <f t="shared" si="11"/>
        <v>2.0501597768501465E-3</v>
      </c>
      <c r="G137">
        <f t="shared" si="12"/>
        <v>1.3839409685206467E-2</v>
      </c>
      <c r="H137" s="72">
        <v>10.355221285486882</v>
      </c>
      <c r="I137" s="74">
        <v>2.0501597768501463</v>
      </c>
      <c r="J137" s="72">
        <v>13.839409685206467</v>
      </c>
    </row>
    <row r="138" spans="1:10">
      <c r="A138" s="54">
        <v>37785</v>
      </c>
      <c r="B138" s="53">
        <v>47.141599999999997</v>
      </c>
      <c r="C138" s="53">
        <v>-13.938499999999999</v>
      </c>
      <c r="D138" s="69">
        <v>1</v>
      </c>
      <c r="E138">
        <f t="shared" si="10"/>
        <v>5.123647744869766E-3</v>
      </c>
      <c r="F138">
        <f t="shared" si="11"/>
        <v>3.4885289732225738E-2</v>
      </c>
      <c r="G138">
        <f t="shared" si="12"/>
        <v>2.2804381238601306E-3</v>
      </c>
      <c r="H138" s="71">
        <v>5.1236477448697659</v>
      </c>
      <c r="I138" s="73">
        <v>34.885289732225736</v>
      </c>
      <c r="J138" s="71">
        <v>2.2804381238601308</v>
      </c>
    </row>
    <row r="139" spans="1:10">
      <c r="A139" s="54">
        <v>37785</v>
      </c>
      <c r="B139" s="51">
        <v>47.141599999999997</v>
      </c>
      <c r="C139" s="51">
        <v>-13.938499999999999</v>
      </c>
      <c r="D139" s="69">
        <v>6.7939999999999996</v>
      </c>
      <c r="E139">
        <f t="shared" si="10"/>
        <v>3.3275719617988368E-3</v>
      </c>
      <c r="F139">
        <f t="shared" si="11"/>
        <v>1.7179736179700741E-2</v>
      </c>
      <c r="G139">
        <f t="shared" si="12"/>
        <v>3.3040125880266676E-3</v>
      </c>
      <c r="H139" s="71">
        <v>3.3275719617988369</v>
      </c>
      <c r="I139" s="73">
        <v>17.17973617970074</v>
      </c>
      <c r="J139" s="71">
        <v>3.3040125880266675</v>
      </c>
    </row>
    <row r="140" spans="1:10">
      <c r="A140" s="54">
        <v>37785</v>
      </c>
      <c r="B140" s="51">
        <v>47.141599999999997</v>
      </c>
      <c r="C140" s="51">
        <v>-13.938499999999999</v>
      </c>
      <c r="D140" s="69">
        <v>9.1</v>
      </c>
      <c r="E140">
        <f t="shared" si="10"/>
        <v>1.8407188804801659E-3</v>
      </c>
      <c r="F140">
        <f t="shared" si="11"/>
        <v>2.254343279260828E-2</v>
      </c>
      <c r="G140">
        <f t="shared" si="12"/>
        <v>2.7943787444199455E-3</v>
      </c>
      <c r="H140" s="71">
        <v>1.840718880480166</v>
      </c>
      <c r="I140" s="73">
        <v>22.543432792608279</v>
      </c>
      <c r="J140" s="71">
        <v>2.7943787444199457</v>
      </c>
    </row>
    <row r="141" spans="1:10">
      <c r="A141" s="54">
        <v>37785</v>
      </c>
      <c r="B141" s="51">
        <v>47.141599999999997</v>
      </c>
      <c r="C141" s="51">
        <v>-13.938499999999999</v>
      </c>
      <c r="D141" s="69">
        <v>17.108000000000001</v>
      </c>
      <c r="E141">
        <f t="shared" si="10"/>
        <v>2.6798634969577581E-3</v>
      </c>
      <c r="F141">
        <f t="shared" si="11"/>
        <v>1.0915220436742369E-2</v>
      </c>
      <c r="G141">
        <f t="shared" si="12"/>
        <v>1.3142614729215363E-3</v>
      </c>
      <c r="H141" s="71">
        <v>2.6798634969577582</v>
      </c>
      <c r="I141" s="73">
        <v>10.91522043674237</v>
      </c>
      <c r="J141" s="71">
        <v>1.3142614729215363</v>
      </c>
    </row>
    <row r="142" spans="1:10">
      <c r="A142" s="54">
        <v>37785</v>
      </c>
      <c r="B142" s="51">
        <v>47.141599999999997</v>
      </c>
      <c r="C142" s="51">
        <v>-13.938499999999999</v>
      </c>
      <c r="D142" s="69">
        <v>29.63</v>
      </c>
      <c r="E142">
        <f t="shared" si="10"/>
        <v>1.502269765138065E-3</v>
      </c>
      <c r="F142">
        <f t="shared" si="11"/>
        <v>4.1493195531965262E-3</v>
      </c>
      <c r="G142">
        <f t="shared" si="12"/>
        <v>2.9695303111994492E-3</v>
      </c>
      <c r="H142" s="71">
        <v>1.502269765138065</v>
      </c>
      <c r="I142" s="73">
        <v>4.1493195531965261</v>
      </c>
      <c r="J142" s="71">
        <v>2.9695303111994491</v>
      </c>
    </row>
    <row r="143" spans="1:10" ht="21" thickBot="1">
      <c r="A143" s="54">
        <v>37785</v>
      </c>
      <c r="B143" s="51">
        <v>47.141599999999997</v>
      </c>
      <c r="C143" s="51">
        <v>-13.938499999999999</v>
      </c>
      <c r="D143" s="70">
        <v>57.356000000000002</v>
      </c>
      <c r="E143">
        <f t="shared" si="10"/>
        <v>5.6217654702274602E-3</v>
      </c>
      <c r="F143">
        <f t="shared" si="11"/>
        <v>7.5445166887002455E-3</v>
      </c>
      <c r="G143">
        <f t="shared" si="12"/>
        <v>6.0797651567958723E-3</v>
      </c>
      <c r="H143" s="72">
        <v>5.6217654702274604</v>
      </c>
      <c r="I143" s="74">
        <v>7.5445166887002459</v>
      </c>
      <c r="J143" s="72">
        <v>6.0797651567958724</v>
      </c>
    </row>
    <row r="144" spans="1:10">
      <c r="A144" s="76">
        <v>38107</v>
      </c>
      <c r="B144" s="77">
        <v>-47.18333333333333</v>
      </c>
      <c r="C144" s="77">
        <v>-50.466666666666669</v>
      </c>
      <c r="D144" s="51">
        <v>20.88</v>
      </c>
      <c r="E144">
        <f t="shared" ref="E144:E194" si="13">H144/1000</f>
        <v>3.6290129684388257E-3</v>
      </c>
      <c r="F144">
        <f t="shared" ref="F144:F207" si="14">I144/1000</f>
        <v>2.0399013666419011E-3</v>
      </c>
      <c r="G144">
        <f t="shared" ref="G144:G207" si="15">J144/1000</f>
        <v>1.1362000000000001E-2</v>
      </c>
      <c r="H144" s="78">
        <v>3.6290129684388255</v>
      </c>
      <c r="I144" s="78">
        <v>2.0399013666419012</v>
      </c>
      <c r="J144" s="78">
        <v>11.362</v>
      </c>
    </row>
    <row r="145" spans="1:10">
      <c r="A145" s="76">
        <v>38107</v>
      </c>
      <c r="B145" s="77">
        <v>-47.18333333333333</v>
      </c>
      <c r="C145" s="77">
        <v>-50.466666666666669</v>
      </c>
      <c r="D145" s="51">
        <v>24.952999999999999</v>
      </c>
      <c r="E145">
        <f t="shared" si="13"/>
        <v>1.3929358493341398E-4</v>
      </c>
      <c r="F145">
        <f t="shared" si="14"/>
        <v>2.383876525278186E-3</v>
      </c>
      <c r="G145">
        <f t="shared" si="15"/>
        <v>8.5389999999999997E-3</v>
      </c>
      <c r="H145" s="79">
        <v>0.13929358493341398</v>
      </c>
      <c r="I145" s="78">
        <v>2.3838765252781862</v>
      </c>
      <c r="J145" s="78">
        <v>8.5389999999999997</v>
      </c>
    </row>
    <row r="146" spans="1:10">
      <c r="A146" s="76">
        <v>38107</v>
      </c>
      <c r="B146" s="77">
        <v>-47.18333333333333</v>
      </c>
      <c r="C146" s="77">
        <v>-50.466666666666669</v>
      </c>
      <c r="D146" s="51">
        <v>30.780999999999999</v>
      </c>
      <c r="E146">
        <f t="shared" si="13"/>
        <v>1.0033721081534482E-3</v>
      </c>
      <c r="F146">
        <f t="shared" si="14"/>
        <v>2.1737764734628363E-3</v>
      </c>
      <c r="G146">
        <f t="shared" si="15"/>
        <v>1.1719999999999999E-3</v>
      </c>
      <c r="H146" s="78">
        <v>1.0033721081534481</v>
      </c>
      <c r="I146" s="78">
        <v>2.1737764734628362</v>
      </c>
      <c r="J146" s="78">
        <v>1.1719999999999999</v>
      </c>
    </row>
    <row r="147" spans="1:10">
      <c r="A147" s="76">
        <v>38107</v>
      </c>
      <c r="B147" s="77">
        <v>-47.18333333333333</v>
      </c>
      <c r="C147" s="77">
        <v>-50.466666666666669</v>
      </c>
      <c r="D147" s="51">
        <v>50.228999999999999</v>
      </c>
      <c r="E147">
        <f t="shared" si="13"/>
        <v>2.2600328413476256E-3</v>
      </c>
      <c r="F147">
        <f t="shared" si="14"/>
        <v>6.8335856388689205E-4</v>
      </c>
      <c r="G147">
        <f t="shared" si="15"/>
        <v>9.8429999999999993E-3</v>
      </c>
      <c r="H147" s="78">
        <v>2.2600328413476256</v>
      </c>
      <c r="I147" s="79">
        <v>0.68335856388689209</v>
      </c>
      <c r="J147" s="79">
        <v>9.843</v>
      </c>
    </row>
    <row r="148" spans="1:10">
      <c r="A148" s="76">
        <v>38109</v>
      </c>
      <c r="B148" s="77">
        <v>-41.033333333333331</v>
      </c>
      <c r="C148" s="77">
        <v>-41.55</v>
      </c>
      <c r="D148" s="51">
        <v>12.912000000000001</v>
      </c>
      <c r="E148">
        <f t="shared" si="13"/>
        <v>4.5101318362010019E-4</v>
      </c>
      <c r="F148">
        <f t="shared" si="14"/>
        <v>8.6480182020692471E-3</v>
      </c>
      <c r="G148">
        <f t="shared" si="15"/>
        <v>7.7813979371709275E-3</v>
      </c>
      <c r="H148" s="78">
        <v>0.45101318362010018</v>
      </c>
      <c r="I148" s="78">
        <v>8.6480182020692471</v>
      </c>
      <c r="J148" s="78">
        <v>7.7813979371709276</v>
      </c>
    </row>
    <row r="149" spans="1:10">
      <c r="A149" s="76">
        <v>38109</v>
      </c>
      <c r="B149" s="77">
        <v>-41.033333333333331</v>
      </c>
      <c r="C149" s="77">
        <v>-41.55</v>
      </c>
      <c r="D149" s="51">
        <v>19.207999999999998</v>
      </c>
      <c r="E149">
        <f t="shared" si="13"/>
        <v>5.4483870474318467E-4</v>
      </c>
      <c r="F149">
        <f t="shared" si="14"/>
        <v>1.3963599706458645E-2</v>
      </c>
      <c r="G149">
        <f t="shared" si="15"/>
        <v>1.1626908464538888E-2</v>
      </c>
      <c r="H149" s="78">
        <v>0.54483870474318463</v>
      </c>
      <c r="I149" s="78">
        <v>13.963599706458645</v>
      </c>
      <c r="J149" s="78">
        <v>11.626908464538888</v>
      </c>
    </row>
    <row r="150" spans="1:10">
      <c r="A150" s="76">
        <v>38109</v>
      </c>
      <c r="B150" s="77">
        <v>-41.033333333333331</v>
      </c>
      <c r="C150" s="77">
        <v>-41.55</v>
      </c>
      <c r="D150" s="51">
        <v>34.844000000000001</v>
      </c>
      <c r="E150">
        <f t="shared" si="13"/>
        <v>6.1044829623160672E-4</v>
      </c>
      <c r="F150">
        <f t="shared" si="14"/>
        <v>7.38001882993191E-3</v>
      </c>
      <c r="G150">
        <f t="shared" si="15"/>
        <v>1.0133094744354464E-2</v>
      </c>
      <c r="H150" s="78">
        <v>0.61044829623160668</v>
      </c>
      <c r="I150" s="78">
        <v>7.3800188299319096</v>
      </c>
      <c r="J150" s="78">
        <v>10.133094744354464</v>
      </c>
    </row>
    <row r="151" spans="1:10">
      <c r="A151" s="76">
        <v>38109</v>
      </c>
      <c r="B151" s="77">
        <v>-41.033333333333331</v>
      </c>
      <c r="C151" s="77">
        <v>-41.55</v>
      </c>
      <c r="D151" s="51">
        <v>65.807000000000002</v>
      </c>
      <c r="E151">
        <f t="shared" si="13"/>
        <v>1.3008776667997775E-4</v>
      </c>
      <c r="F151">
        <f t="shared" si="14"/>
        <v>3.4639307423729778E-3</v>
      </c>
      <c r="H151" s="79">
        <v>0.13008776667997776</v>
      </c>
      <c r="I151" s="78">
        <v>3.4639307423729777</v>
      </c>
      <c r="J151" s="78"/>
    </row>
    <row r="152" spans="1:10">
      <c r="A152" s="76">
        <v>38109</v>
      </c>
      <c r="B152" s="77">
        <v>-41.033333333333331</v>
      </c>
      <c r="C152" s="77">
        <v>-41.55</v>
      </c>
      <c r="D152" s="51">
        <v>81.781000000000006</v>
      </c>
      <c r="F152">
        <f t="shared" si="14"/>
        <v>2.3226922317426649E-3</v>
      </c>
      <c r="G152">
        <f t="shared" si="15"/>
        <v>0.11328826880289471</v>
      </c>
      <c r="H152" s="78"/>
      <c r="I152" s="79">
        <v>2.322692231742665</v>
      </c>
      <c r="J152" s="79">
        <v>113.28826880289471</v>
      </c>
    </row>
    <row r="153" spans="1:10">
      <c r="A153" s="76">
        <v>38110</v>
      </c>
      <c r="B153" s="77">
        <v>-38.200000000000003</v>
      </c>
      <c r="C153" s="77">
        <v>-38.85</v>
      </c>
      <c r="D153" s="51">
        <v>9.4459999999999997</v>
      </c>
      <c r="E153">
        <f t="shared" si="13"/>
        <v>3.6898306895745495E-4</v>
      </c>
      <c r="F153">
        <f t="shared" si="14"/>
        <v>3.037439240917054E-3</v>
      </c>
      <c r="G153">
        <f t="shared" si="15"/>
        <v>1.0434343776520225E-3</v>
      </c>
      <c r="H153" s="78">
        <v>0.36898306895745497</v>
      </c>
      <c r="I153" s="78">
        <v>3.0374392409170539</v>
      </c>
      <c r="J153" s="78">
        <v>1.0434343776520225</v>
      </c>
    </row>
    <row r="154" spans="1:10">
      <c r="A154" s="76">
        <v>38110</v>
      </c>
      <c r="B154" s="77">
        <v>-38.200000000000003</v>
      </c>
      <c r="C154" s="77">
        <v>-38.85</v>
      </c>
      <c r="D154" s="51">
        <v>17.902000000000001</v>
      </c>
      <c r="E154">
        <f t="shared" si="13"/>
        <v>7.607331804345605E-4</v>
      </c>
      <c r="F154">
        <f t="shared" si="14"/>
        <v>6.8756685046769987E-4</v>
      </c>
      <c r="G154">
        <f t="shared" si="15"/>
        <v>2.1742304791361427E-3</v>
      </c>
      <c r="H154" s="78">
        <v>0.76073318043456051</v>
      </c>
      <c r="I154" s="78">
        <v>0.68756685046769983</v>
      </c>
      <c r="J154" s="78">
        <v>2.1742304791361429</v>
      </c>
    </row>
    <row r="155" spans="1:10">
      <c r="A155" s="76">
        <v>38110</v>
      </c>
      <c r="B155" s="77">
        <v>-38.200000000000003</v>
      </c>
      <c r="C155" s="77">
        <v>-38.85</v>
      </c>
      <c r="D155" s="51">
        <v>27.495999999999999</v>
      </c>
      <c r="E155">
        <f t="shared" si="13"/>
        <v>3.4897584228488291E-4</v>
      </c>
      <c r="F155">
        <f t="shared" si="14"/>
        <v>5.4840019389540869E-3</v>
      </c>
      <c r="G155">
        <f t="shared" si="15"/>
        <v>2.2158223649563634E-3</v>
      </c>
      <c r="H155" s="79">
        <v>0.34897584228488293</v>
      </c>
      <c r="I155" s="78">
        <v>5.4840019389540871</v>
      </c>
      <c r="J155" s="78">
        <v>2.2158223649563635</v>
      </c>
    </row>
    <row r="156" spans="1:10">
      <c r="A156" s="76">
        <v>38110</v>
      </c>
      <c r="B156" s="77">
        <v>-38.200000000000003</v>
      </c>
      <c r="C156" s="77">
        <v>-38.85</v>
      </c>
      <c r="D156" s="51">
        <v>38.085999999999999</v>
      </c>
      <c r="E156">
        <f t="shared" si="13"/>
        <v>2.1867931856886257E-3</v>
      </c>
      <c r="F156">
        <f t="shared" si="14"/>
        <v>6.5366417368332951E-3</v>
      </c>
      <c r="H156" s="78">
        <v>2.1867931856886256</v>
      </c>
      <c r="I156" s="78">
        <v>6.5366417368332952</v>
      </c>
      <c r="J156" s="78"/>
    </row>
    <row r="157" spans="1:10">
      <c r="A157" s="76">
        <v>38110</v>
      </c>
      <c r="B157" s="77">
        <v>-38.200000000000003</v>
      </c>
      <c r="C157" s="77">
        <v>-38.85</v>
      </c>
      <c r="D157" s="51">
        <v>67.941999999999993</v>
      </c>
      <c r="E157">
        <f t="shared" si="13"/>
        <v>1.9362058714291876E-3</v>
      </c>
      <c r="F157">
        <f t="shared" si="14"/>
        <v>1.3992508146550077E-4</v>
      </c>
      <c r="G157">
        <f t="shared" si="15"/>
        <v>2.6449928201895418E-2</v>
      </c>
      <c r="H157" s="78">
        <v>1.9362058714291877</v>
      </c>
      <c r="I157" s="78">
        <v>0.13992508146550076</v>
      </c>
      <c r="J157" s="78">
        <v>26.449928201895418</v>
      </c>
    </row>
    <row r="158" spans="1:10">
      <c r="A158" s="76">
        <v>38110</v>
      </c>
      <c r="B158" s="77">
        <v>-38.200000000000003</v>
      </c>
      <c r="C158" s="77">
        <v>-38.85</v>
      </c>
      <c r="D158" s="51">
        <v>101.786</v>
      </c>
      <c r="E158">
        <f t="shared" si="13"/>
        <v>2.402192703616089E-3</v>
      </c>
      <c r="F158">
        <f t="shared" si="14"/>
        <v>2.2472077830413039E-3</v>
      </c>
      <c r="G158">
        <f t="shared" si="15"/>
        <v>4.789403211858044E-2</v>
      </c>
      <c r="H158" s="78">
        <v>2.4021927036160888</v>
      </c>
      <c r="I158" s="79">
        <v>2.2472077830413038</v>
      </c>
      <c r="J158" s="79">
        <v>47.894032118580441</v>
      </c>
    </row>
    <row r="159" spans="1:10">
      <c r="A159" s="76">
        <v>38111</v>
      </c>
      <c r="B159" s="77">
        <v>-35.966666666666669</v>
      </c>
      <c r="C159" s="77">
        <v>-34.783333333333331</v>
      </c>
      <c r="D159" s="51">
        <v>6.9059999999999997</v>
      </c>
      <c r="E159">
        <f t="shared" si="13"/>
        <v>7.9092019748329915E-3</v>
      </c>
      <c r="F159">
        <f t="shared" si="14"/>
        <v>8.3313797349627641E-3</v>
      </c>
      <c r="G159">
        <f t="shared" si="15"/>
        <v>1.5654641420626595E-3</v>
      </c>
      <c r="H159" s="78">
        <v>7.9092019748329916</v>
      </c>
      <c r="I159" s="78">
        <v>8.3313797349627645</v>
      </c>
      <c r="J159" s="78">
        <v>1.5654641420626596</v>
      </c>
    </row>
    <row r="160" spans="1:10">
      <c r="A160" s="76">
        <v>38111</v>
      </c>
      <c r="B160" s="77">
        <v>-35.966666666666669</v>
      </c>
      <c r="C160" s="77">
        <v>-34.783333333333331</v>
      </c>
      <c r="D160" s="51">
        <v>13.476000000000001</v>
      </c>
      <c r="E160">
        <f t="shared" si="13"/>
        <v>1.6720423909021339E-3</v>
      </c>
      <c r="F160">
        <f t="shared" si="14"/>
        <v>5.9815954762385635E-3</v>
      </c>
      <c r="G160">
        <f t="shared" si="15"/>
        <v>1.6264205006144424E-3</v>
      </c>
      <c r="H160" s="78">
        <v>1.6720423909021338</v>
      </c>
      <c r="I160" s="78">
        <v>5.9815954762385637</v>
      </c>
      <c r="J160" s="78">
        <v>1.6264205006144423</v>
      </c>
    </row>
    <row r="161" spans="1:10">
      <c r="A161" s="76">
        <v>38111</v>
      </c>
      <c r="B161" s="77">
        <v>-35.966666666666669</v>
      </c>
      <c r="C161" s="77">
        <v>-34.783333333333331</v>
      </c>
      <c r="D161" s="51">
        <v>23.783999999999999</v>
      </c>
      <c r="E161">
        <f t="shared" si="13"/>
        <v>7.7763298019240825E-4</v>
      </c>
      <c r="F161">
        <f t="shared" si="14"/>
        <v>2.7122884343789115E-3</v>
      </c>
      <c r="G161">
        <f t="shared" si="15"/>
        <v>2.7848652593967962E-3</v>
      </c>
      <c r="H161" s="79">
        <v>0.77763298019240823</v>
      </c>
      <c r="I161" s="78">
        <v>2.7122884343789115</v>
      </c>
      <c r="J161" s="78">
        <v>2.7848652593967964</v>
      </c>
    </row>
    <row r="162" spans="1:10">
      <c r="A162" s="76">
        <v>38111</v>
      </c>
      <c r="B162" s="77">
        <v>-35.966666666666669</v>
      </c>
      <c r="C162" s="77">
        <v>-34.783333333333331</v>
      </c>
      <c r="D162" s="51">
        <v>41.889000000000003</v>
      </c>
      <c r="E162">
        <f t="shared" si="13"/>
        <v>4.9048154422980334E-4</v>
      </c>
      <c r="F162">
        <f t="shared" si="14"/>
        <v>6.0350863921676207E-3</v>
      </c>
      <c r="G162">
        <f t="shared" si="15"/>
        <v>2.4399324353667107E-3</v>
      </c>
      <c r="H162" s="78">
        <v>0.49048154422980333</v>
      </c>
      <c r="I162" s="78">
        <v>6.0350863921676208</v>
      </c>
      <c r="J162" s="78">
        <v>2.4399324353667109</v>
      </c>
    </row>
    <row r="163" spans="1:10">
      <c r="A163" s="76">
        <v>38111</v>
      </c>
      <c r="B163" s="77">
        <v>-35.966666666666669</v>
      </c>
      <c r="C163" s="77">
        <v>-34.783333333333331</v>
      </c>
      <c r="D163" s="51">
        <v>88.221999999999994</v>
      </c>
      <c r="E163">
        <f t="shared" si="13"/>
        <v>7.945587486269263E-4</v>
      </c>
      <c r="F163">
        <f t="shared" si="14"/>
        <v>1.0760810589928624E-4</v>
      </c>
      <c r="G163">
        <f t="shared" si="15"/>
        <v>1.2808825933288144E-2</v>
      </c>
      <c r="H163" s="78">
        <v>0.79455874862692633</v>
      </c>
      <c r="I163" s="78">
        <v>0.10760810589928624</v>
      </c>
      <c r="J163" s="78">
        <v>12.808825933288144</v>
      </c>
    </row>
    <row r="164" spans="1:10">
      <c r="A164" s="76">
        <v>38111</v>
      </c>
      <c r="B164" s="77">
        <v>-35.966666666666669</v>
      </c>
      <c r="C164" s="77">
        <v>-34.783333333333331</v>
      </c>
      <c r="D164" s="51">
        <v>122.42400000000001</v>
      </c>
      <c r="E164">
        <f t="shared" si="13"/>
        <v>3.2635805652837937E-4</v>
      </c>
      <c r="F164">
        <f t="shared" si="14"/>
        <v>3.3564029039943881E-3</v>
      </c>
      <c r="G164">
        <f t="shared" si="15"/>
        <v>0.37537406849593757</v>
      </c>
      <c r="H164" s="78">
        <v>0.32635805652837935</v>
      </c>
      <c r="I164" s="79">
        <v>3.3564029039943879</v>
      </c>
      <c r="J164" s="79">
        <v>375.37406849593759</v>
      </c>
    </row>
    <row r="165" spans="1:10">
      <c r="A165" s="76">
        <v>38112</v>
      </c>
      <c r="B165" s="77">
        <v>-32.966666666666669</v>
      </c>
      <c r="C165" s="77">
        <v>-31</v>
      </c>
      <c r="D165" s="51">
        <v>15.958</v>
      </c>
      <c r="E165">
        <f t="shared" si="13"/>
        <v>1.1563978044921437E-3</v>
      </c>
      <c r="F165">
        <f t="shared" si="14"/>
        <v>5.8826238909032488E-3</v>
      </c>
      <c r="H165" s="78">
        <v>1.1563978044921437</v>
      </c>
      <c r="I165" s="78">
        <v>5.8826238909032487</v>
      </c>
      <c r="J165" s="78"/>
    </row>
    <row r="166" spans="1:10">
      <c r="A166" s="76">
        <v>38112</v>
      </c>
      <c r="B166" s="77">
        <v>-32.966666666666669</v>
      </c>
      <c r="C166" s="77">
        <v>-31</v>
      </c>
      <c r="D166" s="51">
        <v>25.998000000000001</v>
      </c>
      <c r="E166">
        <f t="shared" si="13"/>
        <v>3.5034910148816137E-4</v>
      </c>
      <c r="F166">
        <f t="shared" si="14"/>
        <v>7.6639135482676436E-3</v>
      </c>
      <c r="H166" s="79">
        <v>0.3503491014881614</v>
      </c>
      <c r="I166" s="78">
        <v>7.6639135482676437</v>
      </c>
      <c r="J166" s="78"/>
    </row>
    <row r="167" spans="1:10">
      <c r="A167" s="76">
        <v>38112</v>
      </c>
      <c r="B167" s="77">
        <v>-32.966666666666669</v>
      </c>
      <c r="C167" s="77">
        <v>-31</v>
      </c>
      <c r="D167" s="51">
        <v>45.61</v>
      </c>
      <c r="E167">
        <f t="shared" si="13"/>
        <v>2.8814498869582611E-3</v>
      </c>
      <c r="F167">
        <f t="shared" si="14"/>
        <v>3.2625255107580089E-3</v>
      </c>
      <c r="H167" s="78">
        <v>2.881449886958261</v>
      </c>
      <c r="I167" s="78">
        <v>3.2625255107580089</v>
      </c>
      <c r="J167" s="78"/>
    </row>
    <row r="168" spans="1:10">
      <c r="A168" s="76">
        <v>38112</v>
      </c>
      <c r="B168" s="77">
        <v>-32.966666666666669</v>
      </c>
      <c r="C168" s="77">
        <v>-31</v>
      </c>
      <c r="D168" s="51">
        <v>101.687</v>
      </c>
      <c r="E168">
        <f t="shared" si="13"/>
        <v>4.1540016759195232E-4</v>
      </c>
      <c r="F168">
        <f t="shared" si="14"/>
        <v>2.1780660684989112E-3</v>
      </c>
      <c r="G168">
        <f t="shared" si="15"/>
        <v>4.374479694179174E-4</v>
      </c>
      <c r="H168" s="78">
        <v>0.41540016759195231</v>
      </c>
      <c r="I168" s="78">
        <v>2.1780660684989113</v>
      </c>
      <c r="J168" s="78">
        <v>0.43744796941791741</v>
      </c>
    </row>
    <row r="169" spans="1:10">
      <c r="A169" s="76">
        <v>38112</v>
      </c>
      <c r="B169" s="77">
        <v>-32.966666666666669</v>
      </c>
      <c r="C169" s="77">
        <v>-31</v>
      </c>
      <c r="D169" s="51">
        <v>153.93</v>
      </c>
      <c r="E169">
        <f t="shared" si="13"/>
        <v>6.0678335658964145E-4</v>
      </c>
      <c r="F169">
        <f t="shared" si="14"/>
        <v>5.0613656718216801E-4</v>
      </c>
      <c r="G169">
        <f t="shared" si="15"/>
        <v>1.4209127433388112E-2</v>
      </c>
      <c r="H169" s="78">
        <v>0.60678335658964144</v>
      </c>
      <c r="I169" s="79">
        <v>0.50613656718216804</v>
      </c>
      <c r="J169" s="79">
        <v>14.209127433388112</v>
      </c>
    </row>
    <row r="170" spans="1:10">
      <c r="A170" s="76">
        <v>38113</v>
      </c>
      <c r="B170" s="77">
        <v>-30.683333333333334</v>
      </c>
      <c r="C170" s="77">
        <v>-28.2</v>
      </c>
      <c r="D170" s="51">
        <v>3.7480000000000002</v>
      </c>
      <c r="F170">
        <f t="shared" si="14"/>
        <v>4.6827779505208503E-3</v>
      </c>
      <c r="G170">
        <f t="shared" si="15"/>
        <v>0</v>
      </c>
      <c r="H170" s="78"/>
      <c r="I170" s="78">
        <v>4.6827779505208502</v>
      </c>
      <c r="J170" s="78"/>
    </row>
    <row r="171" spans="1:10">
      <c r="A171" s="76">
        <v>38113</v>
      </c>
      <c r="B171" s="77">
        <v>-30.683333333333334</v>
      </c>
      <c r="C171" s="77">
        <v>-28.2</v>
      </c>
      <c r="D171" s="51">
        <v>14.193</v>
      </c>
      <c r="E171">
        <f t="shared" si="13"/>
        <v>4.4730314029414313E-4</v>
      </c>
      <c r="F171">
        <f t="shared" si="14"/>
        <v>5.3287164343023908E-3</v>
      </c>
      <c r="G171">
        <f t="shared" si="15"/>
        <v>0</v>
      </c>
      <c r="H171" s="79">
        <v>0.44730314029414314</v>
      </c>
      <c r="I171" s="78">
        <v>5.3287164343023905</v>
      </c>
      <c r="J171" s="78"/>
    </row>
    <row r="172" spans="1:10">
      <c r="A172" s="76">
        <v>38113</v>
      </c>
      <c r="B172" s="77">
        <v>-30.683333333333334</v>
      </c>
      <c r="C172" s="77">
        <v>-28.2</v>
      </c>
      <c r="D172" s="51">
        <v>24.94</v>
      </c>
      <c r="E172">
        <f t="shared" si="13"/>
        <v>1.3639428435956726E-3</v>
      </c>
      <c r="F172">
        <f t="shared" si="14"/>
        <v>3.4810511196885431E-3</v>
      </c>
      <c r="G172">
        <f t="shared" si="15"/>
        <v>0</v>
      </c>
      <c r="H172" s="78">
        <v>1.3639428435956726</v>
      </c>
      <c r="I172" s="78">
        <v>3.481051119688543</v>
      </c>
      <c r="J172" s="78"/>
    </row>
    <row r="173" spans="1:10">
      <c r="A173" s="76">
        <v>38113</v>
      </c>
      <c r="B173" s="77">
        <v>-30.683333333333334</v>
      </c>
      <c r="C173" s="77">
        <v>-28.2</v>
      </c>
      <c r="D173" s="51">
        <v>45.944000000000003</v>
      </c>
      <c r="E173">
        <f t="shared" si="13"/>
        <v>1.7039111008788259E-4</v>
      </c>
      <c r="F173">
        <f t="shared" si="14"/>
        <v>1.0142542538551449E-2</v>
      </c>
      <c r="G173">
        <f t="shared" si="15"/>
        <v>0</v>
      </c>
      <c r="H173" s="78">
        <v>0.1703911100878826</v>
      </c>
      <c r="I173" s="78">
        <v>10.142542538551449</v>
      </c>
      <c r="J173" s="78"/>
    </row>
    <row r="174" spans="1:10">
      <c r="A174" s="76">
        <v>38113</v>
      </c>
      <c r="B174" s="77">
        <v>-30.683333333333334</v>
      </c>
      <c r="C174" s="77">
        <v>-28.2</v>
      </c>
      <c r="D174" s="51">
        <v>102.197</v>
      </c>
      <c r="F174">
        <f t="shared" si="14"/>
        <v>4.4057673546065617E-3</v>
      </c>
      <c r="G174">
        <f t="shared" si="15"/>
        <v>0</v>
      </c>
      <c r="H174" s="78"/>
      <c r="I174" s="78">
        <v>4.4057673546065619</v>
      </c>
      <c r="J174" s="78"/>
    </row>
    <row r="175" spans="1:10">
      <c r="A175" s="76">
        <v>38113</v>
      </c>
      <c r="B175" s="77">
        <v>-30.683333333333334</v>
      </c>
      <c r="C175" s="77">
        <v>-28.2</v>
      </c>
      <c r="D175" s="51">
        <v>151.59800000000001</v>
      </c>
      <c r="E175">
        <f t="shared" si="13"/>
        <v>1.3030978335099429E-2</v>
      </c>
      <c r="F175">
        <f t="shared" si="14"/>
        <v>1.921477023545148E-3</v>
      </c>
      <c r="G175">
        <f t="shared" si="15"/>
        <v>0</v>
      </c>
      <c r="H175" s="78">
        <v>13.03097833509943</v>
      </c>
      <c r="I175" s="79">
        <v>1.9214770235451479</v>
      </c>
      <c r="J175" s="79"/>
    </row>
    <row r="176" spans="1:10">
      <c r="A176" s="76">
        <v>38114</v>
      </c>
      <c r="B176" s="77">
        <v>-28.083333333333332</v>
      </c>
      <c r="C176" s="77">
        <v>-25.1</v>
      </c>
      <c r="D176" s="51">
        <v>8.5730000000000004</v>
      </c>
      <c r="E176">
        <f t="shared" si="13"/>
        <v>7.2550366789196751E-3</v>
      </c>
      <c r="F176">
        <f t="shared" si="14"/>
        <v>1.8697578089833932E-3</v>
      </c>
      <c r="G176">
        <f t="shared" si="15"/>
        <v>3.68735735281835E-5</v>
      </c>
      <c r="H176" s="78">
        <v>7.2550366789196747</v>
      </c>
      <c r="I176" s="78">
        <v>1.8697578089833933</v>
      </c>
      <c r="J176" s="78">
        <v>3.6873573528183497E-2</v>
      </c>
    </row>
    <row r="177" spans="1:10">
      <c r="A177" s="76">
        <v>38114</v>
      </c>
      <c r="B177" s="77">
        <v>-28.083333333333332</v>
      </c>
      <c r="C177" s="77">
        <v>-25.1</v>
      </c>
      <c r="D177" s="51">
        <v>12.451000000000001</v>
      </c>
      <c r="E177">
        <f t="shared" si="13"/>
        <v>7.0781368734580664E-4</v>
      </c>
      <c r="F177">
        <f t="shared" si="14"/>
        <v>2.4477196198882767E-3</v>
      </c>
      <c r="G177">
        <f t="shared" si="15"/>
        <v>1.971756421772503E-4</v>
      </c>
      <c r="H177" s="78">
        <v>0.70781368734580663</v>
      </c>
      <c r="I177" s="78">
        <v>2.4477196198882765</v>
      </c>
      <c r="J177" s="78">
        <v>0.19717564217725028</v>
      </c>
    </row>
    <row r="178" spans="1:10">
      <c r="A178" s="76">
        <v>38114</v>
      </c>
      <c r="B178" s="77">
        <v>-28.083333333333332</v>
      </c>
      <c r="C178" s="77">
        <v>-25.1</v>
      </c>
      <c r="D178" s="51">
        <v>24.922000000000001</v>
      </c>
      <c r="E178">
        <f t="shared" si="13"/>
        <v>1.4371577377288126E-3</v>
      </c>
      <c r="F178">
        <f t="shared" si="14"/>
        <v>2.9158004046253364E-3</v>
      </c>
      <c r="G178">
        <f t="shared" si="15"/>
        <v>0</v>
      </c>
      <c r="H178" s="78">
        <v>1.4371577377288125</v>
      </c>
      <c r="I178" s="78">
        <v>2.9158004046253363</v>
      </c>
      <c r="J178" s="78"/>
    </row>
    <row r="179" spans="1:10">
      <c r="A179" s="76">
        <v>38114</v>
      </c>
      <c r="B179" s="77">
        <v>-28.083333333333332</v>
      </c>
      <c r="C179" s="77">
        <v>-25.1</v>
      </c>
      <c r="D179" s="51">
        <v>44.570999999999998</v>
      </c>
      <c r="E179">
        <f t="shared" si="13"/>
        <v>2.0976036437639419E-3</v>
      </c>
      <c r="F179">
        <f t="shared" si="14"/>
        <v>4.8686405824156275E-3</v>
      </c>
      <c r="G179">
        <f t="shared" si="15"/>
        <v>0</v>
      </c>
      <c r="H179" s="78">
        <v>2.097603643763942</v>
      </c>
      <c r="I179" s="78">
        <v>4.8686405824156278</v>
      </c>
      <c r="J179" s="78"/>
    </row>
    <row r="180" spans="1:10">
      <c r="A180" s="76">
        <v>38114</v>
      </c>
      <c r="B180" s="77">
        <v>-28.083333333333332</v>
      </c>
      <c r="C180" s="77">
        <v>-25.1</v>
      </c>
      <c r="D180" s="51">
        <v>106.071</v>
      </c>
      <c r="E180">
        <f t="shared" si="13"/>
        <v>1.102775414002867E-3</v>
      </c>
      <c r="F180">
        <f t="shared" si="14"/>
        <v>3.3446826980478078E-3</v>
      </c>
      <c r="G180">
        <f t="shared" si="15"/>
        <v>0</v>
      </c>
      <c r="H180" s="78">
        <v>1.1027754140028669</v>
      </c>
      <c r="I180" s="78">
        <v>3.3446826980478077</v>
      </c>
      <c r="J180" s="78"/>
    </row>
    <row r="181" spans="1:10">
      <c r="A181" s="76">
        <v>38114</v>
      </c>
      <c r="B181" s="77">
        <v>-28.083333333333332</v>
      </c>
      <c r="C181" s="77">
        <v>-25.1</v>
      </c>
      <c r="D181" s="51">
        <v>158.65700000000001</v>
      </c>
      <c r="E181">
        <f t="shared" si="13"/>
        <v>1.4884045726340541E-3</v>
      </c>
      <c r="F181">
        <f t="shared" si="14"/>
        <v>2.3672457814911075E-3</v>
      </c>
      <c r="G181">
        <f t="shared" si="15"/>
        <v>1.7067069372699725E-3</v>
      </c>
      <c r="H181" s="79">
        <v>1.4884045726340542</v>
      </c>
      <c r="I181" s="79">
        <v>2.3672457814911074</v>
      </c>
      <c r="J181" s="79">
        <v>1.7067069372699724</v>
      </c>
    </row>
    <row r="182" spans="1:10">
      <c r="A182" s="76">
        <v>38115</v>
      </c>
      <c r="B182" s="77">
        <v>-24.216666666666665</v>
      </c>
      <c r="C182" s="77">
        <v>-24.983333333333334</v>
      </c>
      <c r="D182" s="51">
        <v>16.029</v>
      </c>
      <c r="E182">
        <f t="shared" si="13"/>
        <v>2.5305257950125545E-3</v>
      </c>
      <c r="F182">
        <f t="shared" si="14"/>
        <v>1.5589108037493396E-3</v>
      </c>
      <c r="G182">
        <f t="shared" si="15"/>
        <v>6.9951866143749396E-4</v>
      </c>
      <c r="H182" s="78">
        <v>2.5305257950125544</v>
      </c>
      <c r="I182" s="78">
        <v>1.5589108037493395</v>
      </c>
      <c r="J182" s="78">
        <v>0.69951866143749397</v>
      </c>
    </row>
    <row r="183" spans="1:10">
      <c r="A183" s="76">
        <v>38115</v>
      </c>
      <c r="B183" s="77">
        <v>-24.216666666666665</v>
      </c>
      <c r="C183" s="77">
        <v>-24.983333333333334</v>
      </c>
      <c r="D183" s="51">
        <v>26.568999999999999</v>
      </c>
      <c r="E183">
        <f t="shared" si="13"/>
        <v>3.5279295108351229E-3</v>
      </c>
      <c r="F183">
        <f t="shared" si="14"/>
        <v>3.1024957832115506E-3</v>
      </c>
      <c r="G183">
        <f t="shared" si="15"/>
        <v>2.1424500542584044E-3</v>
      </c>
      <c r="H183" s="78">
        <v>3.527929510835123</v>
      </c>
      <c r="I183" s="78">
        <v>3.1024957832115505</v>
      </c>
      <c r="J183" s="78">
        <v>2.1424500542584042</v>
      </c>
    </row>
    <row r="184" spans="1:10">
      <c r="A184" s="76">
        <v>38115</v>
      </c>
      <c r="B184" s="77">
        <v>-24.216666666666665</v>
      </c>
      <c r="C184" s="77">
        <v>-24.983333333333334</v>
      </c>
      <c r="D184" s="51">
        <v>47.805</v>
      </c>
      <c r="E184">
        <f t="shared" si="13"/>
        <v>4.4108115354409153E-3</v>
      </c>
      <c r="F184">
        <f t="shared" si="14"/>
        <v>1.9184320304419405E-3</v>
      </c>
      <c r="G184">
        <f t="shared" si="15"/>
        <v>2.210585121113886E-3</v>
      </c>
      <c r="H184" s="78">
        <v>4.4108115354409154</v>
      </c>
      <c r="I184" s="78">
        <v>1.9184320304419404</v>
      </c>
      <c r="J184" s="78">
        <v>2.2105851211138861</v>
      </c>
    </row>
    <row r="185" spans="1:10">
      <c r="A185" s="76">
        <v>38115</v>
      </c>
      <c r="B185" s="77">
        <v>-24.216666666666665</v>
      </c>
      <c r="C185" s="77">
        <v>-24.983333333333334</v>
      </c>
      <c r="D185" s="51">
        <v>164.39699999999999</v>
      </c>
      <c r="E185">
        <f t="shared" si="13"/>
        <v>6.6364139689037384E-3</v>
      </c>
      <c r="F185">
        <f t="shared" si="14"/>
        <v>1.1540378322531999E-3</v>
      </c>
      <c r="G185">
        <f t="shared" si="15"/>
        <v>2.8764420463756489E-3</v>
      </c>
      <c r="H185" s="78">
        <v>6.6364139689037387</v>
      </c>
      <c r="I185" s="79">
        <v>1.1540378322531999</v>
      </c>
      <c r="J185" s="79">
        <v>2.876442046375649</v>
      </c>
    </row>
    <row r="186" spans="1:10">
      <c r="A186" s="76">
        <v>38116</v>
      </c>
      <c r="B186" s="77">
        <v>-20.916666666666668</v>
      </c>
      <c r="C186" s="77">
        <v>-25</v>
      </c>
      <c r="D186" s="51">
        <v>19.600000000000001</v>
      </c>
      <c r="E186">
        <f t="shared" si="13"/>
        <v>4.1431951636026329E-3</v>
      </c>
      <c r="F186">
        <f t="shared" si="14"/>
        <v>4.0822940758177308E-3</v>
      </c>
      <c r="G186">
        <f t="shared" si="15"/>
        <v>1.7600000000000001E-3</v>
      </c>
      <c r="H186" s="78">
        <v>4.1431951636026332</v>
      </c>
      <c r="I186" s="78">
        <v>4.0822940758177308</v>
      </c>
      <c r="J186" s="78">
        <v>1.76</v>
      </c>
    </row>
    <row r="187" spans="1:10">
      <c r="A187" s="76">
        <v>38116</v>
      </c>
      <c r="B187" s="77">
        <v>-20.916666666666668</v>
      </c>
      <c r="C187" s="77">
        <v>-25</v>
      </c>
      <c r="D187" s="51">
        <v>36.284999999999997</v>
      </c>
      <c r="E187">
        <f t="shared" si="13"/>
        <v>5.1432865828650344E-3</v>
      </c>
      <c r="F187">
        <f t="shared" si="14"/>
        <v>3.8628115891533791E-3</v>
      </c>
      <c r="G187">
        <f t="shared" si="15"/>
        <v>9.4955699966478742E-3</v>
      </c>
      <c r="H187" s="78">
        <v>5.1432865828650343</v>
      </c>
      <c r="I187" s="78">
        <v>3.8628115891533792</v>
      </c>
      <c r="J187" s="78">
        <v>9.495569996647875</v>
      </c>
    </row>
    <row r="188" spans="1:10">
      <c r="A188" s="76">
        <v>38116</v>
      </c>
      <c r="B188" s="77">
        <v>-20.916666666666668</v>
      </c>
      <c r="C188" s="77">
        <v>-25</v>
      </c>
      <c r="D188" s="51">
        <v>64.847999999999999</v>
      </c>
      <c r="E188">
        <f t="shared" si="13"/>
        <v>2.6059270936381741E-3</v>
      </c>
      <c r="F188">
        <f t="shared" si="14"/>
        <v>9.8420805247047254E-3</v>
      </c>
      <c r="G188">
        <f t="shared" si="15"/>
        <v>7.5005724200527882E-3</v>
      </c>
      <c r="H188" s="78">
        <v>2.605927093638174</v>
      </c>
      <c r="I188" s="78">
        <v>9.8420805247047252</v>
      </c>
      <c r="J188" s="78">
        <v>7.5005724200527881</v>
      </c>
    </row>
    <row r="189" spans="1:10">
      <c r="A189" s="76">
        <v>38116</v>
      </c>
      <c r="B189" s="77">
        <v>-20.916666666666668</v>
      </c>
      <c r="C189" s="77">
        <v>-25</v>
      </c>
      <c r="D189" s="51">
        <v>224.03</v>
      </c>
      <c r="E189">
        <f t="shared" si="13"/>
        <v>2.1356709385512286E-3</v>
      </c>
      <c r="F189">
        <f t="shared" si="14"/>
        <v>4.8949817746901467E-3</v>
      </c>
      <c r="G189">
        <f t="shared" si="15"/>
        <v>6.6833345710660972E-3</v>
      </c>
      <c r="H189" s="79">
        <v>2.1356709385512285</v>
      </c>
      <c r="I189" s="79">
        <v>4.8949817746901472</v>
      </c>
      <c r="J189" s="79">
        <v>6.683334571066097</v>
      </c>
    </row>
    <row r="190" spans="1:10">
      <c r="A190" s="76">
        <v>38117</v>
      </c>
      <c r="B190" s="77">
        <v>-16.5</v>
      </c>
      <c r="C190" s="77">
        <v>-24.966666666666665</v>
      </c>
      <c r="D190" s="51">
        <v>2.2280000000000002</v>
      </c>
      <c r="E190">
        <f t="shared" si="13"/>
        <v>5.7602580987556979E-3</v>
      </c>
      <c r="F190">
        <f t="shared" si="14"/>
        <v>2.855293076420505E-3</v>
      </c>
      <c r="G190">
        <f t="shared" si="15"/>
        <v>6.3390898219194646E-4</v>
      </c>
      <c r="H190" s="78">
        <v>5.7602580987556982</v>
      </c>
      <c r="I190" s="78">
        <v>2.8552930764205051</v>
      </c>
      <c r="J190" s="78">
        <v>0.63390898219194647</v>
      </c>
    </row>
    <row r="191" spans="1:10">
      <c r="A191" s="76">
        <v>38117</v>
      </c>
      <c r="B191" s="77">
        <v>-16.5</v>
      </c>
      <c r="C191" s="77">
        <v>-24.966666666666665</v>
      </c>
      <c r="D191" s="51">
        <v>20.193000000000001</v>
      </c>
      <c r="E191">
        <f t="shared" si="13"/>
        <v>4.2644250912899093E-3</v>
      </c>
      <c r="F191">
        <f t="shared" si="14"/>
        <v>2.5806677692452678E-3</v>
      </c>
      <c r="G191">
        <f t="shared" si="15"/>
        <v>1.2882364544458905E-3</v>
      </c>
      <c r="H191" s="78">
        <v>4.2644250912899091</v>
      </c>
      <c r="I191" s="78">
        <v>2.580667769245268</v>
      </c>
      <c r="J191" s="78">
        <v>1.2882364544458906</v>
      </c>
    </row>
    <row r="192" spans="1:10">
      <c r="A192" s="76">
        <v>38117</v>
      </c>
      <c r="B192" s="77">
        <v>-16.5</v>
      </c>
      <c r="C192" s="77">
        <v>-24.966666666666665</v>
      </c>
      <c r="D192" s="51">
        <v>64.394000000000005</v>
      </c>
      <c r="F192">
        <f t="shared" si="14"/>
        <v>2.0607058425984967E-2</v>
      </c>
      <c r="G192">
        <f t="shared" si="15"/>
        <v>1.6831980272998385E-3</v>
      </c>
      <c r="H192" s="78"/>
      <c r="I192" s="78">
        <v>20.607058425984967</v>
      </c>
      <c r="J192" s="78">
        <v>1.6831980272998386</v>
      </c>
    </row>
    <row r="193" spans="1:10">
      <c r="A193" s="76">
        <v>38117</v>
      </c>
      <c r="B193" s="77">
        <v>-16.5</v>
      </c>
      <c r="C193" s="77">
        <v>-24.966666666666665</v>
      </c>
      <c r="D193" s="51">
        <v>149.19399999999999</v>
      </c>
      <c r="E193">
        <f t="shared" si="13"/>
        <v>2.5181822418020132E-3</v>
      </c>
      <c r="F193">
        <f t="shared" si="14"/>
        <v>8.5071017676107419E-3</v>
      </c>
      <c r="G193">
        <f t="shared" si="15"/>
        <v>3.3126572520507283E-2</v>
      </c>
      <c r="H193" s="78">
        <v>2.518182241802013</v>
      </c>
      <c r="I193" s="78">
        <v>8.5071017676107417</v>
      </c>
      <c r="J193" s="78">
        <v>33.126572520507281</v>
      </c>
    </row>
    <row r="194" spans="1:10">
      <c r="A194" s="76">
        <v>38118</v>
      </c>
      <c r="B194" s="77">
        <v>-12.266666666666667</v>
      </c>
      <c r="C194" s="77">
        <v>-24.983333333333334</v>
      </c>
      <c r="D194" s="51">
        <v>16.943999999999999</v>
      </c>
      <c r="E194">
        <f t="shared" si="13"/>
        <v>4.9372157782161567E-4</v>
      </c>
      <c r="F194">
        <f t="shared" si="14"/>
        <v>4.3771075960774737E-3</v>
      </c>
      <c r="H194" s="79">
        <v>0.49372157782161569</v>
      </c>
      <c r="I194" s="78">
        <v>4.3771075960774741</v>
      </c>
      <c r="J194" s="78"/>
    </row>
    <row r="195" spans="1:10">
      <c r="A195" s="76">
        <v>38118</v>
      </c>
      <c r="B195" s="77">
        <v>-12.266666666666667</v>
      </c>
      <c r="C195" s="77">
        <v>-24.983333333333334</v>
      </c>
      <c r="D195" s="51">
        <v>30.667999999999999</v>
      </c>
      <c r="F195">
        <f t="shared" si="14"/>
        <v>3.8115570018612782E-3</v>
      </c>
      <c r="I195" s="78">
        <v>3.8115570018612783</v>
      </c>
      <c r="J195" s="78"/>
    </row>
    <row r="196" spans="1:10">
      <c r="A196" s="76">
        <v>38118</v>
      </c>
      <c r="B196" s="77">
        <v>-12.266666666666667</v>
      </c>
      <c r="C196" s="77">
        <v>-24.983333333333334</v>
      </c>
      <c r="D196" s="51">
        <v>55.35</v>
      </c>
      <c r="F196">
        <f t="shared" si="14"/>
        <v>1.8164606625264376E-3</v>
      </c>
      <c r="I196" s="78">
        <v>1.8164606625264377</v>
      </c>
      <c r="J196" s="78"/>
    </row>
    <row r="197" spans="1:10">
      <c r="A197" s="76">
        <v>38118</v>
      </c>
      <c r="B197" s="77">
        <v>-12.266666666666667</v>
      </c>
      <c r="C197" s="77">
        <v>-24.983333333333334</v>
      </c>
      <c r="D197" s="51">
        <v>129.96799999999999</v>
      </c>
      <c r="F197">
        <f t="shared" si="14"/>
        <v>2.349460017210482E-3</v>
      </c>
      <c r="G197">
        <f t="shared" si="15"/>
        <v>0.36646179333297835</v>
      </c>
      <c r="I197" s="78">
        <v>2.349460017210482</v>
      </c>
      <c r="J197" s="78">
        <v>366.46179333297835</v>
      </c>
    </row>
    <row r="198" spans="1:10">
      <c r="A198" s="76">
        <v>38118</v>
      </c>
      <c r="B198" s="77">
        <v>-12.266666666666667</v>
      </c>
      <c r="C198" s="77">
        <v>-24.983333333333334</v>
      </c>
      <c r="D198" s="51">
        <v>195.36</v>
      </c>
      <c r="F198">
        <f t="shared" si="14"/>
        <v>1.1058687518304394E-3</v>
      </c>
      <c r="I198" s="79">
        <v>1.1058687518304393</v>
      </c>
      <c r="J198" s="79"/>
    </row>
    <row r="199" spans="1:10">
      <c r="A199" s="76">
        <v>38120</v>
      </c>
      <c r="B199" s="77">
        <v>-4.45</v>
      </c>
      <c r="C199" s="77">
        <v>-25</v>
      </c>
      <c r="D199" s="51">
        <v>2.4510000000000001</v>
      </c>
      <c r="F199">
        <f t="shared" si="14"/>
        <v>3.8535496214188764E-3</v>
      </c>
      <c r="G199">
        <f t="shared" si="15"/>
        <v>1.9199999999999998E-3</v>
      </c>
      <c r="I199" s="78">
        <v>3.8535496214188765</v>
      </c>
      <c r="J199" s="78">
        <v>1.92</v>
      </c>
    </row>
    <row r="200" spans="1:10">
      <c r="A200" s="76">
        <v>38120</v>
      </c>
      <c r="B200" s="77">
        <v>-4.45</v>
      </c>
      <c r="C200" s="77">
        <v>-25</v>
      </c>
      <c r="D200" s="51">
        <v>12.327999999999999</v>
      </c>
      <c r="F200">
        <f t="shared" si="14"/>
        <v>2.8643790573336545E-3</v>
      </c>
      <c r="G200">
        <f t="shared" si="15"/>
        <v>2.2100000000000002E-3</v>
      </c>
      <c r="I200" s="78">
        <v>2.8643790573336547</v>
      </c>
      <c r="J200" s="78">
        <v>2.21</v>
      </c>
    </row>
    <row r="201" spans="1:10">
      <c r="A201" s="76">
        <v>38120</v>
      </c>
      <c r="B201" s="77">
        <v>-4.45</v>
      </c>
      <c r="C201" s="77">
        <v>-25</v>
      </c>
      <c r="D201" s="51">
        <v>21.635000000000002</v>
      </c>
      <c r="F201">
        <f t="shared" si="14"/>
        <v>9.9652650194400412E-4</v>
      </c>
      <c r="G201">
        <f t="shared" si="15"/>
        <v>3.1700000000000001E-3</v>
      </c>
      <c r="I201" s="78">
        <v>0.99652650194400416</v>
      </c>
      <c r="J201" s="78">
        <v>3.17</v>
      </c>
    </row>
    <row r="202" spans="1:10">
      <c r="A202" s="76">
        <v>38120</v>
      </c>
      <c r="B202" s="77">
        <v>-4.45</v>
      </c>
      <c r="C202" s="77">
        <v>-25</v>
      </c>
      <c r="D202" s="51">
        <v>39.877000000000002</v>
      </c>
      <c r="F202">
        <f t="shared" si="14"/>
        <v>1.7149359561725037E-2</v>
      </c>
      <c r="G202">
        <f t="shared" si="15"/>
        <v>3.13E-3</v>
      </c>
      <c r="I202" s="78">
        <v>17.149359561725039</v>
      </c>
      <c r="J202" s="78">
        <v>3.13</v>
      </c>
    </row>
    <row r="203" spans="1:10">
      <c r="A203" s="76">
        <v>38120</v>
      </c>
      <c r="B203" s="77">
        <v>-4.45</v>
      </c>
      <c r="C203" s="77">
        <v>-25</v>
      </c>
      <c r="D203" s="51">
        <v>90.659000000000006</v>
      </c>
      <c r="F203">
        <f t="shared" si="14"/>
        <v>6.1993855945538419E-3</v>
      </c>
      <c r="G203">
        <f t="shared" si="15"/>
        <v>0.29112001815967586</v>
      </c>
      <c r="I203" s="78">
        <v>6.1993855945538421</v>
      </c>
      <c r="J203" s="78">
        <v>291.12001815967585</v>
      </c>
    </row>
    <row r="204" spans="1:10">
      <c r="A204" s="76">
        <v>38120</v>
      </c>
      <c r="B204" s="77">
        <v>-4.45</v>
      </c>
      <c r="C204" s="77">
        <v>-25</v>
      </c>
      <c r="D204" s="51">
        <v>137.40799999999999</v>
      </c>
      <c r="F204">
        <f t="shared" si="14"/>
        <v>1.8524052189816929E-3</v>
      </c>
      <c r="G204">
        <f t="shared" si="15"/>
        <v>1.0399662749824089E-2</v>
      </c>
      <c r="I204" s="79">
        <v>1.8524052189816929</v>
      </c>
      <c r="J204" s="79">
        <v>10.399662749824088</v>
      </c>
    </row>
    <row r="205" spans="1:10">
      <c r="A205" s="76">
        <v>38121</v>
      </c>
      <c r="B205" s="77">
        <v>-8.3333333333333329E-2</v>
      </c>
      <c r="C205" s="77">
        <v>-24.983333333333334</v>
      </c>
      <c r="D205" s="51">
        <v>15.521000000000001</v>
      </c>
      <c r="F205">
        <f t="shared" si="14"/>
        <v>4.7567538398738743E-3</v>
      </c>
      <c r="G205">
        <f t="shared" si="15"/>
        <v>3.7831766765207648E-3</v>
      </c>
      <c r="I205" s="78">
        <v>4.7567538398738742</v>
      </c>
      <c r="J205" s="78">
        <v>3.7831766765207648</v>
      </c>
    </row>
    <row r="206" spans="1:10">
      <c r="A206" s="76">
        <v>38121</v>
      </c>
      <c r="B206" s="77">
        <v>-8.3333333333333329E-2</v>
      </c>
      <c r="C206" s="77">
        <v>-24.983333333333334</v>
      </c>
      <c r="D206" s="51">
        <v>27.097999999999999</v>
      </c>
      <c r="F206">
        <f t="shared" si="14"/>
        <v>2.9752727907852538E-3</v>
      </c>
      <c r="G206">
        <f t="shared" si="15"/>
        <v>1.9134015701631917E-3</v>
      </c>
      <c r="I206" s="78">
        <v>2.9752727907852536</v>
      </c>
      <c r="J206" s="78">
        <v>1.9134015701631917</v>
      </c>
    </row>
    <row r="207" spans="1:10">
      <c r="A207" s="76">
        <v>38121</v>
      </c>
      <c r="B207" s="77">
        <v>-8.3333333333333329E-2</v>
      </c>
      <c r="C207" s="77">
        <v>-24.983333333333334</v>
      </c>
      <c r="D207" s="51">
        <v>58.95</v>
      </c>
      <c r="F207">
        <f t="shared" si="14"/>
        <v>3.5845389759463259E-3</v>
      </c>
      <c r="G207">
        <f t="shared" si="15"/>
        <v>0.27796809831445962</v>
      </c>
      <c r="I207" s="78">
        <v>3.5845389759463258</v>
      </c>
      <c r="J207" s="78">
        <v>277.96809831445961</v>
      </c>
    </row>
    <row r="208" spans="1:10">
      <c r="A208" s="76">
        <v>38121</v>
      </c>
      <c r="B208" s="77">
        <v>-8.3333333333333329E-2</v>
      </c>
      <c r="C208" s="77">
        <v>-24.983333333333334</v>
      </c>
      <c r="D208" s="51">
        <v>92.162000000000006</v>
      </c>
      <c r="F208">
        <f t="shared" ref="F208:F262" si="16">I208/1000</f>
        <v>8.1259469489760477E-4</v>
      </c>
      <c r="G208">
        <f t="shared" ref="G208:G262" si="17">J208/1000</f>
        <v>3.5254667090063195E-3</v>
      </c>
      <c r="I208" s="79">
        <v>0.81259469489760472</v>
      </c>
      <c r="J208" s="79">
        <v>3.5254667090063196</v>
      </c>
    </row>
    <row r="209" spans="1:10">
      <c r="A209" s="76">
        <v>38123</v>
      </c>
      <c r="B209" s="77">
        <v>7.2833333333333332</v>
      </c>
      <c r="C209" s="77">
        <v>-27.766666666666666</v>
      </c>
      <c r="D209" s="51">
        <v>2.2850000000000001</v>
      </c>
      <c r="F209">
        <f t="shared" si="16"/>
        <v>1.7885457333998329E-3</v>
      </c>
      <c r="G209">
        <f t="shared" si="17"/>
        <v>4.9928058924151968E-4</v>
      </c>
      <c r="I209" s="78">
        <v>1.7885457333998329</v>
      </c>
      <c r="J209" s="78">
        <v>0.49928058924151969</v>
      </c>
    </row>
    <row r="210" spans="1:10">
      <c r="A210" s="76">
        <v>38123</v>
      </c>
      <c r="B210" s="77">
        <v>7.2833333333333332</v>
      </c>
      <c r="C210" s="77">
        <v>-27.766666666666666</v>
      </c>
      <c r="D210" s="51">
        <v>15.361000000000001</v>
      </c>
      <c r="F210">
        <f t="shared" si="16"/>
        <v>1.2648896166780213E-2</v>
      </c>
      <c r="G210">
        <f t="shared" si="17"/>
        <v>6.0299860510160744E-3</v>
      </c>
      <c r="I210" s="78">
        <v>12.648896166780213</v>
      </c>
      <c r="J210" s="78">
        <v>6.0299860510160741</v>
      </c>
    </row>
    <row r="211" spans="1:10">
      <c r="A211" s="76">
        <v>38123</v>
      </c>
      <c r="B211" s="77">
        <v>7.2833333333333332</v>
      </c>
      <c r="C211" s="77">
        <v>-27.766666666666666</v>
      </c>
      <c r="D211" s="51">
        <v>26.108000000000001</v>
      </c>
      <c r="F211">
        <f t="shared" si="16"/>
        <v>1.3139314117689989E-2</v>
      </c>
      <c r="G211">
        <f t="shared" si="17"/>
        <v>6.1106990222094095E-3</v>
      </c>
      <c r="I211" s="78">
        <v>13.139314117689988</v>
      </c>
      <c r="J211" s="78">
        <v>6.1106990222094097</v>
      </c>
    </row>
    <row r="212" spans="1:10">
      <c r="A212" s="76">
        <v>38123</v>
      </c>
      <c r="B212" s="77">
        <v>7.2833333333333332</v>
      </c>
      <c r="C212" s="77">
        <v>-27.766666666666666</v>
      </c>
      <c r="D212" s="51">
        <v>60.552999999999997</v>
      </c>
      <c r="F212">
        <f t="shared" si="16"/>
        <v>1.1104128340385683E-3</v>
      </c>
      <c r="G212">
        <f t="shared" si="17"/>
        <v>1.1324362209989596E-2</v>
      </c>
      <c r="I212" s="78">
        <v>1.1104128340385684</v>
      </c>
      <c r="J212" s="78">
        <v>11.324362209989596</v>
      </c>
    </row>
    <row r="213" spans="1:10">
      <c r="A213" s="76">
        <v>38123</v>
      </c>
      <c r="B213" s="77">
        <v>7.2833333333333332</v>
      </c>
      <c r="C213" s="77">
        <v>-27.766666666666666</v>
      </c>
      <c r="D213" s="51">
        <v>93.302999999999997</v>
      </c>
      <c r="F213">
        <f t="shared" si="16"/>
        <v>1.157281390106566E-3</v>
      </c>
      <c r="G213">
        <f t="shared" si="17"/>
        <v>2.214E-2</v>
      </c>
      <c r="I213" s="79">
        <v>1.1572813901065659</v>
      </c>
      <c r="J213" s="79">
        <v>22.14</v>
      </c>
    </row>
    <row r="214" spans="1:10">
      <c r="A214" s="76">
        <v>38124</v>
      </c>
      <c r="B214" s="77">
        <v>11.4</v>
      </c>
      <c r="C214" s="77">
        <v>-29.366666666666667</v>
      </c>
      <c r="D214" s="51">
        <v>2.4900000000000002</v>
      </c>
      <c r="F214">
        <f t="shared" si="16"/>
        <v>1.2233005683217047E-2</v>
      </c>
      <c r="G214">
        <f t="shared" si="17"/>
        <v>7.7901806776460429E-4</v>
      </c>
      <c r="I214" s="78">
        <v>12.233005683217048</v>
      </c>
      <c r="J214" s="78">
        <v>0.77901806776460425</v>
      </c>
    </row>
    <row r="215" spans="1:10">
      <c r="A215" s="76">
        <v>38124</v>
      </c>
      <c r="B215" s="77">
        <v>11.4</v>
      </c>
      <c r="C215" s="77">
        <v>-29.366666666666667</v>
      </c>
      <c r="D215" s="51">
        <v>10.541</v>
      </c>
      <c r="F215">
        <f t="shared" si="16"/>
        <v>1.3449320532673129E-2</v>
      </c>
      <c r="G215">
        <f t="shared" si="17"/>
        <v>1.7354129305831559E-3</v>
      </c>
      <c r="I215" s="78">
        <v>13.449320532673129</v>
      </c>
      <c r="J215" s="78">
        <v>1.7354129305831558</v>
      </c>
    </row>
    <row r="216" spans="1:10">
      <c r="A216" s="76">
        <v>38124</v>
      </c>
      <c r="B216" s="77">
        <v>11.4</v>
      </c>
      <c r="C216" s="77">
        <v>-29.366666666666667</v>
      </c>
      <c r="D216" s="51">
        <v>19.327999999999999</v>
      </c>
      <c r="F216">
        <f t="shared" si="16"/>
        <v>1.0405080957148342E-2</v>
      </c>
      <c r="I216" s="78">
        <v>10.405080957148343</v>
      </c>
      <c r="J216" s="78"/>
    </row>
    <row r="217" spans="1:10">
      <c r="A217" s="76">
        <v>38124</v>
      </c>
      <c r="B217" s="77">
        <v>11.4</v>
      </c>
      <c r="C217" s="77">
        <v>-29.366666666666667</v>
      </c>
      <c r="D217" s="51">
        <v>34.530999999999999</v>
      </c>
      <c r="F217">
        <f t="shared" si="16"/>
        <v>1.1794695925001547E-2</v>
      </c>
      <c r="I217" s="78">
        <v>11.794695925001546</v>
      </c>
      <c r="J217" s="78"/>
    </row>
    <row r="218" spans="1:10">
      <c r="A218" s="76">
        <v>38124</v>
      </c>
      <c r="B218" s="77">
        <v>11.4</v>
      </c>
      <c r="C218" s="77">
        <v>-29.366666666666667</v>
      </c>
      <c r="D218" s="51">
        <v>79.891000000000005</v>
      </c>
      <c r="F218">
        <f t="shared" si="16"/>
        <v>8.5176132217810768E-4</v>
      </c>
      <c r="G218">
        <f t="shared" si="17"/>
        <v>1.0677022988451549E-2</v>
      </c>
      <c r="I218" s="78">
        <v>0.85176132217810774</v>
      </c>
      <c r="J218" s="78">
        <v>10.677022988451549</v>
      </c>
    </row>
    <row r="219" spans="1:10">
      <c r="A219" s="76">
        <v>38124</v>
      </c>
      <c r="B219" s="77">
        <v>11.4</v>
      </c>
      <c r="C219" s="77">
        <v>-29.366666666666667</v>
      </c>
      <c r="D219" s="51">
        <v>120.77</v>
      </c>
      <c r="F219">
        <f t="shared" si="16"/>
        <v>1.0488364106851168E-3</v>
      </c>
      <c r="G219">
        <f t="shared" si="17"/>
        <v>1.1722830600681943E-2</v>
      </c>
      <c r="I219" s="79">
        <v>1.0488364106851169</v>
      </c>
      <c r="J219" s="79">
        <v>11.722830600681943</v>
      </c>
    </row>
    <row r="220" spans="1:10">
      <c r="A220" s="76">
        <v>38125</v>
      </c>
      <c r="B220" s="77">
        <v>14.75</v>
      </c>
      <c r="C220" s="77">
        <v>-30.666666666666668</v>
      </c>
      <c r="D220" s="51">
        <v>13.744</v>
      </c>
      <c r="F220">
        <f t="shared" si="16"/>
        <v>9.057419290652468E-3</v>
      </c>
      <c r="G220">
        <f t="shared" si="17"/>
        <v>2.0400000000000001E-3</v>
      </c>
      <c r="I220" s="78">
        <v>9.0574192906524686</v>
      </c>
      <c r="J220" s="78">
        <v>2.04</v>
      </c>
    </row>
    <row r="221" spans="1:10">
      <c r="A221" s="76">
        <v>38125</v>
      </c>
      <c r="B221" s="77">
        <v>14.75</v>
      </c>
      <c r="C221" s="77">
        <v>-30.666666666666668</v>
      </c>
      <c r="D221" s="51">
        <v>44.941000000000003</v>
      </c>
      <c r="F221">
        <f t="shared" si="16"/>
        <v>1.1744668321213505E-2</v>
      </c>
      <c r="G221">
        <f t="shared" si="17"/>
        <v>1.7508712563518358E-3</v>
      </c>
      <c r="I221" s="78">
        <v>11.744668321213505</v>
      </c>
      <c r="J221" s="78">
        <v>1.7508712563518358</v>
      </c>
    </row>
    <row r="222" spans="1:10">
      <c r="A222" s="76">
        <v>38125</v>
      </c>
      <c r="B222" s="77">
        <v>14.75</v>
      </c>
      <c r="C222" s="77">
        <v>-30.666666666666668</v>
      </c>
      <c r="D222" s="51">
        <v>100.925</v>
      </c>
      <c r="F222">
        <f t="shared" si="16"/>
        <v>2.4278406379440163E-3</v>
      </c>
      <c r="G222">
        <f t="shared" si="17"/>
        <v>9.4288904037612684E-4</v>
      </c>
      <c r="I222" s="78">
        <v>2.4278406379440165</v>
      </c>
      <c r="J222" s="78">
        <v>0.94288904037612686</v>
      </c>
    </row>
    <row r="223" spans="1:10">
      <c r="A223" s="76">
        <v>38125</v>
      </c>
      <c r="B223" s="77">
        <v>14.75</v>
      </c>
      <c r="C223" s="77">
        <v>-30.666666666666668</v>
      </c>
      <c r="D223" s="51">
        <v>151.27000000000001</v>
      </c>
      <c r="F223">
        <f t="shared" si="16"/>
        <v>1.4181464446948859E-3</v>
      </c>
      <c r="G223">
        <f t="shared" si="17"/>
        <v>1.0263740719120231E-2</v>
      </c>
      <c r="I223" s="79">
        <v>1.4181464446948859</v>
      </c>
      <c r="J223" s="79">
        <v>10.26374071912023</v>
      </c>
    </row>
    <row r="224" spans="1:10">
      <c r="A224" s="76">
        <v>38126</v>
      </c>
      <c r="B224" s="77">
        <v>18.783333333333335</v>
      </c>
      <c r="C224" s="77">
        <v>-32.283333333333331</v>
      </c>
      <c r="D224" s="51">
        <v>3.165</v>
      </c>
      <c r="F224">
        <f t="shared" si="16"/>
        <v>8.0084590474060052E-3</v>
      </c>
      <c r="G224">
        <f t="shared" si="17"/>
        <v>2.8632140498303465E-4</v>
      </c>
      <c r="I224" s="78">
        <v>8.0084590474060047</v>
      </c>
      <c r="J224" s="78">
        <v>0.28632140498303466</v>
      </c>
    </row>
    <row r="225" spans="1:10">
      <c r="A225" s="76">
        <v>38126</v>
      </c>
      <c r="B225" s="77">
        <v>18.783333333333335</v>
      </c>
      <c r="C225" s="77">
        <v>-32.283333333333331</v>
      </c>
      <c r="D225" s="51">
        <v>15.696999999999999</v>
      </c>
      <c r="F225">
        <f t="shared" si="16"/>
        <v>2.7823431037395665E-3</v>
      </c>
      <c r="G225">
        <f t="shared" si="17"/>
        <v>1.7460813215544927E-3</v>
      </c>
      <c r="I225" s="78">
        <v>2.7823431037395663</v>
      </c>
      <c r="J225" s="78">
        <v>1.7460813215544926</v>
      </c>
    </row>
    <row r="226" spans="1:10">
      <c r="A226" s="76">
        <v>38126</v>
      </c>
      <c r="B226" s="77">
        <v>18.783333333333335</v>
      </c>
      <c r="C226" s="77">
        <v>-32.283333333333331</v>
      </c>
      <c r="D226" s="51">
        <v>30.28</v>
      </c>
      <c r="F226">
        <f t="shared" si="16"/>
        <v>2.5148527861837693E-3</v>
      </c>
      <c r="G226">
        <f t="shared" si="17"/>
        <v>2.3843877911263094E-3</v>
      </c>
      <c r="I226" s="78">
        <v>2.5148527861837691</v>
      </c>
      <c r="J226" s="78">
        <v>2.3843877911263096</v>
      </c>
    </row>
    <row r="227" spans="1:10">
      <c r="A227" s="76">
        <v>38126</v>
      </c>
      <c r="B227" s="77">
        <v>18.783333333333335</v>
      </c>
      <c r="C227" s="77">
        <v>-32.283333333333331</v>
      </c>
      <c r="D227" s="51">
        <v>53.878999999999998</v>
      </c>
      <c r="F227">
        <f t="shared" si="16"/>
        <v>1.7023288405286666E-2</v>
      </c>
      <c r="G227">
        <f t="shared" si="17"/>
        <v>1.4355679001562449E-3</v>
      </c>
      <c r="I227" s="78">
        <v>17.023288405286667</v>
      </c>
      <c r="J227" s="78">
        <v>1.4355679001562449</v>
      </c>
    </row>
    <row r="228" spans="1:10">
      <c r="A228" s="76">
        <v>38126</v>
      </c>
      <c r="B228" s="77">
        <v>18.783333333333335</v>
      </c>
      <c r="C228" s="77">
        <v>-32.283333333333331</v>
      </c>
      <c r="D228" s="51">
        <v>125.062</v>
      </c>
      <c r="F228">
        <f t="shared" si="16"/>
        <v>1.9152111189447434E-3</v>
      </c>
      <c r="G228">
        <f t="shared" si="17"/>
        <v>0.19445154065952969</v>
      </c>
      <c r="I228" s="78">
        <v>1.9152111189447434</v>
      </c>
      <c r="J228" s="78">
        <v>194.45154065952968</v>
      </c>
    </row>
    <row r="229" spans="1:10">
      <c r="A229" s="76">
        <v>38126</v>
      </c>
      <c r="B229" s="77">
        <v>18.783333333333335</v>
      </c>
      <c r="C229" s="77">
        <v>-32.283333333333331</v>
      </c>
      <c r="D229" s="51">
        <v>188.476</v>
      </c>
      <c r="F229">
        <f t="shared" si="16"/>
        <v>1.6024269049738334E-3</v>
      </c>
      <c r="G229">
        <f t="shared" si="17"/>
        <v>8.7969940705704356E-3</v>
      </c>
      <c r="I229" s="79">
        <v>1.6024269049738333</v>
      </c>
      <c r="J229" s="79">
        <v>8.7969940705704364</v>
      </c>
    </row>
    <row r="230" spans="1:10">
      <c r="A230" s="76">
        <v>38127</v>
      </c>
      <c r="B230" s="77">
        <v>23.333333333333332</v>
      </c>
      <c r="C230" s="77">
        <v>-33.716666666666669</v>
      </c>
      <c r="D230" s="51">
        <v>15.327999999999999</v>
      </c>
      <c r="F230">
        <f t="shared" si="16"/>
        <v>7.2871702105337924E-4</v>
      </c>
      <c r="G230">
        <f t="shared" si="17"/>
        <v>6.8162498276054507E-4</v>
      </c>
      <c r="I230" s="78">
        <v>0.72871702105337921</v>
      </c>
      <c r="J230" s="78">
        <v>0.68162498276054506</v>
      </c>
    </row>
    <row r="231" spans="1:10">
      <c r="A231" s="76">
        <v>38127</v>
      </c>
      <c r="B231" s="77">
        <v>23.333333333333332</v>
      </c>
      <c r="C231" s="77">
        <v>-33.716666666666669</v>
      </c>
      <c r="D231" s="51">
        <v>28.138000000000002</v>
      </c>
      <c r="F231">
        <f t="shared" si="16"/>
        <v>4.68078622756891E-3</v>
      </c>
      <c r="G231">
        <f t="shared" si="17"/>
        <v>1.7245700841468254E-4</v>
      </c>
      <c r="I231" s="78">
        <v>4.6807862275689098</v>
      </c>
      <c r="J231" s="78">
        <v>0.17245700841468253</v>
      </c>
    </row>
    <row r="232" spans="1:10">
      <c r="A232" s="76">
        <v>38127</v>
      </c>
      <c r="B232" s="77">
        <v>23.333333333333332</v>
      </c>
      <c r="C232" s="77">
        <v>-33.716666666666669</v>
      </c>
      <c r="D232" s="51">
        <v>50.037999999999997</v>
      </c>
      <c r="F232">
        <f t="shared" si="16"/>
        <v>1.428652058295561E-3</v>
      </c>
      <c r="G232">
        <f t="shared" si="17"/>
        <v>1.1547330080258684E-3</v>
      </c>
      <c r="I232" s="78">
        <v>1.4286520582955609</v>
      </c>
      <c r="J232" s="78">
        <v>1.1547330080258684</v>
      </c>
    </row>
    <row r="233" spans="1:10">
      <c r="A233" s="76">
        <v>38127</v>
      </c>
      <c r="B233" s="77">
        <v>23.333333333333332</v>
      </c>
      <c r="C233" s="77">
        <v>-33.716666666666669</v>
      </c>
      <c r="D233" s="51">
        <v>115.224</v>
      </c>
      <c r="F233">
        <f t="shared" si="16"/>
        <v>3.035176815479994E-3</v>
      </c>
      <c r="G233">
        <f t="shared" si="17"/>
        <v>5.6846294477920743E-2</v>
      </c>
      <c r="I233" s="78">
        <v>3.0351768154799941</v>
      </c>
      <c r="J233" s="78">
        <v>56.846294477920743</v>
      </c>
    </row>
    <row r="234" spans="1:10">
      <c r="A234" s="76">
        <v>38127</v>
      </c>
      <c r="B234" s="77">
        <v>23.333333333333332</v>
      </c>
      <c r="C234" s="77">
        <v>-33.716666666666669</v>
      </c>
      <c r="D234" s="51">
        <v>172.61</v>
      </c>
      <c r="F234">
        <f t="shared" si="16"/>
        <v>2.2108901312535819E-3</v>
      </c>
      <c r="G234">
        <f t="shared" si="17"/>
        <v>2.9615406638347289E-3</v>
      </c>
      <c r="I234" s="79">
        <v>2.2108901312535818</v>
      </c>
      <c r="J234" s="79">
        <v>2.9615406638347288</v>
      </c>
    </row>
    <row r="235" spans="1:10">
      <c r="A235" s="76">
        <v>38129</v>
      </c>
      <c r="B235" s="77">
        <v>29.3</v>
      </c>
      <c r="C235" s="77">
        <v>-36.68333333333333</v>
      </c>
      <c r="D235" s="51">
        <v>17.821999999999999</v>
      </c>
      <c r="F235">
        <f t="shared" si="16"/>
        <v>1.1362062756875096E-3</v>
      </c>
      <c r="G235">
        <f t="shared" si="17"/>
        <v>1.3243344955859409E-3</v>
      </c>
      <c r="I235" s="78">
        <v>1.1362062756875095</v>
      </c>
      <c r="J235" s="78">
        <v>1.3243344955859409</v>
      </c>
    </row>
    <row r="236" spans="1:10">
      <c r="A236" s="76">
        <v>38129</v>
      </c>
      <c r="B236" s="77">
        <v>29.3</v>
      </c>
      <c r="C236" s="77">
        <v>-36.68333333333333</v>
      </c>
      <c r="D236" s="51">
        <v>32.554000000000002</v>
      </c>
      <c r="F236">
        <f t="shared" si="16"/>
        <v>1.356596861993497E-3</v>
      </c>
      <c r="G236">
        <f t="shared" si="17"/>
        <v>4.4124406854131101E-4</v>
      </c>
      <c r="I236" s="78">
        <v>1.3565968619934969</v>
      </c>
      <c r="J236" s="78">
        <v>0.44124406854131099</v>
      </c>
    </row>
    <row r="237" spans="1:10">
      <c r="A237" s="76">
        <v>38129</v>
      </c>
      <c r="B237" s="77">
        <v>29.3</v>
      </c>
      <c r="C237" s="77">
        <v>-36.68333333333333</v>
      </c>
      <c r="D237" s="51">
        <v>57.322000000000003</v>
      </c>
      <c r="F237">
        <f t="shared" si="16"/>
        <v>6.9919973255357245E-4</v>
      </c>
      <c r="G237">
        <f t="shared" si="17"/>
        <v>1.7800159778569511E-4</v>
      </c>
      <c r="I237" s="78">
        <v>0.69919973255357248</v>
      </c>
      <c r="J237" s="78">
        <v>0.1780015977856951</v>
      </c>
    </row>
    <row r="238" spans="1:10">
      <c r="A238" s="76">
        <v>38129</v>
      </c>
      <c r="B238" s="77">
        <v>29.3</v>
      </c>
      <c r="C238" s="77">
        <v>-36.68333333333333</v>
      </c>
      <c r="D238" s="51">
        <v>131.92400000000001</v>
      </c>
      <c r="F238">
        <f t="shared" si="16"/>
        <v>2.7530349160960212E-3</v>
      </c>
      <c r="G238">
        <f t="shared" si="17"/>
        <v>7.4782138789256502E-3</v>
      </c>
      <c r="I238" s="78">
        <v>2.7530349160960212</v>
      </c>
      <c r="J238" s="78">
        <v>7.4782138789256498</v>
      </c>
    </row>
    <row r="239" spans="1:10">
      <c r="A239" s="76">
        <v>38129</v>
      </c>
      <c r="B239" s="77">
        <v>29.3</v>
      </c>
      <c r="C239" s="77">
        <v>-36.68333333333333</v>
      </c>
      <c r="D239" s="51">
        <v>196.97900000000001</v>
      </c>
      <c r="F239">
        <f t="shared" si="16"/>
        <v>8.3990470917547674E-4</v>
      </c>
      <c r="G239">
        <f t="shared" si="17"/>
        <v>2.9128261155490077E-3</v>
      </c>
      <c r="I239" s="79">
        <v>0.83990470917547677</v>
      </c>
      <c r="J239" s="79">
        <v>2.9128261155490076</v>
      </c>
    </row>
    <row r="240" spans="1:10">
      <c r="A240" s="76">
        <v>38130</v>
      </c>
      <c r="B240" s="77">
        <v>31.266666666666666</v>
      </c>
      <c r="C240" s="77">
        <v>-32.549999999999997</v>
      </c>
      <c r="D240" s="51">
        <v>0.29899999999999999</v>
      </c>
      <c r="F240">
        <f t="shared" si="16"/>
        <v>1.0838162367037313E-3</v>
      </c>
      <c r="I240" s="78">
        <v>1.0838162367037314</v>
      </c>
      <c r="J240" s="78"/>
    </row>
    <row r="241" spans="1:10">
      <c r="A241" s="76">
        <v>38130</v>
      </c>
      <c r="B241" s="77">
        <v>31.266666666666666</v>
      </c>
      <c r="C241" s="77">
        <v>-32.549999999999997</v>
      </c>
      <c r="D241" s="51">
        <v>100.18</v>
      </c>
      <c r="F241">
        <f t="shared" si="16"/>
        <v>7.5749925314190481E-4</v>
      </c>
      <c r="I241" s="78">
        <v>0.7574992531419048</v>
      </c>
      <c r="J241" s="78"/>
    </row>
    <row r="242" spans="1:10">
      <c r="A242" s="76">
        <v>38132</v>
      </c>
      <c r="B242" s="77">
        <v>35.733333333333334</v>
      </c>
      <c r="C242" s="77">
        <v>-22.85</v>
      </c>
      <c r="D242" s="51">
        <v>10.965999999999999</v>
      </c>
      <c r="F242">
        <f t="shared" si="16"/>
        <v>1.0826822967753247E-2</v>
      </c>
      <c r="I242" s="78">
        <v>10.826822967753246</v>
      </c>
      <c r="J242" s="78"/>
    </row>
    <row r="243" spans="1:10">
      <c r="A243" s="76">
        <v>38132</v>
      </c>
      <c r="B243" s="77">
        <v>35.733333333333334</v>
      </c>
      <c r="C243" s="77">
        <v>-22.85</v>
      </c>
      <c r="D243" s="51">
        <v>35.411999999999999</v>
      </c>
      <c r="F243">
        <f t="shared" si="16"/>
        <v>1.1704626300757354E-2</v>
      </c>
      <c r="I243" s="78">
        <v>11.704626300757354</v>
      </c>
      <c r="J243" s="78"/>
    </row>
    <row r="244" spans="1:10">
      <c r="A244" s="76">
        <v>38132</v>
      </c>
      <c r="B244" s="77">
        <v>35.733333333333334</v>
      </c>
      <c r="C244" s="77">
        <v>-22.85</v>
      </c>
      <c r="D244" s="51">
        <v>90.052999999999997</v>
      </c>
      <c r="F244">
        <f t="shared" si="16"/>
        <v>7.2170098076846205E-3</v>
      </c>
      <c r="G244">
        <f t="shared" si="17"/>
        <v>3.798021019823497E-2</v>
      </c>
      <c r="I244" s="78">
        <v>7.2170098076846205</v>
      </c>
      <c r="J244" s="78">
        <v>37.980210198234971</v>
      </c>
    </row>
    <row r="245" spans="1:10">
      <c r="A245" s="76">
        <v>38133</v>
      </c>
      <c r="B245" s="77">
        <v>38.65</v>
      </c>
      <c r="C245" s="77">
        <v>-19.866666666666667</v>
      </c>
      <c r="D245" s="51">
        <v>7.5810000000000004</v>
      </c>
      <c r="F245">
        <f t="shared" si="16"/>
        <v>4.4043973324123893E-4</v>
      </c>
      <c r="G245">
        <f t="shared" si="17"/>
        <v>3.5898359382436611E-3</v>
      </c>
      <c r="I245" s="78">
        <v>0.44043973324123892</v>
      </c>
      <c r="J245" s="78">
        <v>3.5898359382436613</v>
      </c>
    </row>
    <row r="246" spans="1:10">
      <c r="A246" s="76">
        <v>38133</v>
      </c>
      <c r="B246" s="77">
        <v>38.65</v>
      </c>
      <c r="C246" s="77">
        <v>-19.866666666666667</v>
      </c>
      <c r="D246" s="51">
        <v>13.568</v>
      </c>
      <c r="F246">
        <f t="shared" si="16"/>
        <v>3.3129622986865807E-3</v>
      </c>
      <c r="G246">
        <f t="shared" si="17"/>
        <v>5.1395804359859552E-3</v>
      </c>
      <c r="I246" s="78">
        <v>3.3129622986865805</v>
      </c>
      <c r="J246" s="78">
        <v>5.1395804359859554</v>
      </c>
    </row>
    <row r="247" spans="1:10">
      <c r="A247" s="76">
        <v>38133</v>
      </c>
      <c r="B247" s="77">
        <v>38.65</v>
      </c>
      <c r="C247" s="77">
        <v>-19.866666666666667</v>
      </c>
      <c r="D247" s="51">
        <v>24.74</v>
      </c>
      <c r="F247">
        <f t="shared" si="16"/>
        <v>1.0668966943094098E-2</v>
      </c>
      <c r="I247" s="78">
        <v>10.668966943094098</v>
      </c>
      <c r="J247" s="78"/>
    </row>
    <row r="248" spans="1:10">
      <c r="A248" s="76">
        <v>38133</v>
      </c>
      <c r="B248" s="77">
        <v>38.65</v>
      </c>
      <c r="C248" s="77">
        <v>-19.866666666666667</v>
      </c>
      <c r="D248" s="51">
        <v>50.48</v>
      </c>
      <c r="F248">
        <f t="shared" si="16"/>
        <v>4.8729109445047098E-4</v>
      </c>
      <c r="I248" s="78">
        <v>0.48729109445047097</v>
      </c>
      <c r="J248" s="78"/>
    </row>
    <row r="249" spans="1:10">
      <c r="A249" s="76">
        <v>38133</v>
      </c>
      <c r="B249" s="77">
        <v>38.65</v>
      </c>
      <c r="C249" s="77">
        <v>-19.866666666666667</v>
      </c>
      <c r="D249" s="51">
        <v>80.975999999999999</v>
      </c>
      <c r="F249">
        <f t="shared" si="16"/>
        <v>3.9845404207249953E-4</v>
      </c>
      <c r="G249">
        <f t="shared" si="17"/>
        <v>5.4350846941565321E-4</v>
      </c>
      <c r="I249" s="79">
        <v>0.39845404207249951</v>
      </c>
      <c r="J249" s="79">
        <v>0.54350846941565323</v>
      </c>
    </row>
    <row r="250" spans="1:10">
      <c r="A250" s="76">
        <v>38134</v>
      </c>
      <c r="B250" s="77">
        <v>41.983333333333334</v>
      </c>
      <c r="C250" s="77">
        <v>-18.783333333333335</v>
      </c>
      <c r="D250" s="51">
        <v>6.1070000000000002</v>
      </c>
      <c r="F250">
        <f t="shared" si="16"/>
        <v>2.1783904064965089E-3</v>
      </c>
      <c r="I250" s="78">
        <v>2.1783904064965087</v>
      </c>
      <c r="J250" s="78"/>
    </row>
    <row r="251" spans="1:10">
      <c r="A251" s="76">
        <v>38134</v>
      </c>
      <c r="B251" s="77">
        <v>41.983333333333334</v>
      </c>
      <c r="C251" s="77">
        <v>-18.783333333333335</v>
      </c>
      <c r="D251" s="51">
        <v>21.62</v>
      </c>
      <c r="F251">
        <f t="shared" si="16"/>
        <v>7.7291427680017044E-3</v>
      </c>
      <c r="I251" s="78">
        <v>7.7291427680017044</v>
      </c>
      <c r="J251" s="78"/>
    </row>
    <row r="252" spans="1:10">
      <c r="A252" s="76">
        <v>38134</v>
      </c>
      <c r="B252" s="77">
        <v>41.983333333333334</v>
      </c>
      <c r="C252" s="77">
        <v>-18.783333333333335</v>
      </c>
      <c r="D252" s="51">
        <v>47.348999999999997</v>
      </c>
      <c r="F252">
        <f t="shared" si="16"/>
        <v>3.3183958404959706E-3</v>
      </c>
      <c r="G252">
        <f t="shared" si="17"/>
        <v>1.2554230439387727E-2</v>
      </c>
      <c r="I252" s="78">
        <v>3.3183958404959708</v>
      </c>
      <c r="J252" s="78">
        <v>12.554230439387727</v>
      </c>
    </row>
    <row r="253" spans="1:10">
      <c r="A253" s="76">
        <v>38135</v>
      </c>
      <c r="B253" s="77">
        <v>46.43333333333333</v>
      </c>
      <c r="C253" s="77">
        <v>-17.266666666666666</v>
      </c>
      <c r="D253" s="51">
        <v>8.0180000000000007</v>
      </c>
      <c r="F253">
        <f t="shared" si="16"/>
        <v>1.5571682690732162E-3</v>
      </c>
      <c r="G253">
        <f t="shared" si="17"/>
        <v>1.0946832173034807E-2</v>
      </c>
      <c r="I253" s="78">
        <v>1.5571682690732163</v>
      </c>
      <c r="J253" s="78">
        <v>10.946832173034807</v>
      </c>
    </row>
    <row r="254" spans="1:10">
      <c r="A254" s="76">
        <v>38135</v>
      </c>
      <c r="B254" s="77">
        <v>46.43333333333333</v>
      </c>
      <c r="C254" s="77">
        <v>-17.266666666666666</v>
      </c>
      <c r="D254" s="51">
        <v>11.834</v>
      </c>
      <c r="F254">
        <f t="shared" si="16"/>
        <v>1.5230229543328892E-3</v>
      </c>
      <c r="G254">
        <f t="shared" si="17"/>
        <v>1.6961921499296456E-2</v>
      </c>
      <c r="I254" s="78">
        <v>1.5230229543328893</v>
      </c>
      <c r="J254" s="78">
        <v>16.961921499296455</v>
      </c>
    </row>
    <row r="255" spans="1:10">
      <c r="A255" s="76">
        <v>38135</v>
      </c>
      <c r="B255" s="77">
        <v>46.43333333333333</v>
      </c>
      <c r="C255" s="77">
        <v>-17.266666666666666</v>
      </c>
      <c r="D255" s="51">
        <v>21.355</v>
      </c>
      <c r="F255">
        <f t="shared" si="16"/>
        <v>3.2536734811991082E-3</v>
      </c>
      <c r="G255">
        <f t="shared" si="17"/>
        <v>1.0449720314215217E-2</v>
      </c>
      <c r="I255" s="78">
        <v>3.2536734811991082</v>
      </c>
      <c r="J255" s="78">
        <v>10.449720314215217</v>
      </c>
    </row>
    <row r="256" spans="1:10">
      <c r="A256" s="76">
        <v>38135</v>
      </c>
      <c r="B256" s="77">
        <v>46.43333333333333</v>
      </c>
      <c r="C256" s="77">
        <v>-17.266666666666666</v>
      </c>
      <c r="D256" s="51">
        <v>45.91</v>
      </c>
      <c r="F256">
        <f t="shared" si="16"/>
        <v>3.2623692870079146E-3</v>
      </c>
      <c r="G256">
        <f t="shared" si="17"/>
        <v>2.2482612719208955E-2</v>
      </c>
      <c r="I256" s="78">
        <v>3.2623692870079144</v>
      </c>
      <c r="J256" s="78">
        <v>22.482612719208955</v>
      </c>
    </row>
    <row r="257" spans="1:10">
      <c r="A257" s="76">
        <v>38135</v>
      </c>
      <c r="B257" s="77">
        <v>46.43333333333333</v>
      </c>
      <c r="C257" s="77">
        <v>-17.266666666666666</v>
      </c>
      <c r="D257" s="51">
        <v>92.807000000000002</v>
      </c>
      <c r="F257">
        <f t="shared" si="16"/>
        <v>4.1059377620194316E-4</v>
      </c>
      <c r="G257">
        <f t="shared" si="17"/>
        <v>8.8506781674127285E-3</v>
      </c>
      <c r="I257" s="79">
        <v>0.41059377620194315</v>
      </c>
      <c r="J257" s="79">
        <v>8.8506781674127293</v>
      </c>
    </row>
    <row r="258" spans="1:10">
      <c r="A258" s="76">
        <v>38136</v>
      </c>
      <c r="B258" s="77">
        <v>49</v>
      </c>
      <c r="C258" s="77">
        <v>-16.383333333333333</v>
      </c>
      <c r="D258" s="51">
        <v>8.4740000000000002</v>
      </c>
      <c r="F258">
        <f t="shared" si="16"/>
        <v>4.8675081564192382E-3</v>
      </c>
      <c r="G258">
        <f t="shared" si="17"/>
        <v>1.8134752528010837E-2</v>
      </c>
      <c r="I258" s="78">
        <v>4.8675081564192384</v>
      </c>
      <c r="J258" s="78">
        <v>18.134752528010836</v>
      </c>
    </row>
    <row r="259" spans="1:10">
      <c r="A259" s="76">
        <v>38136</v>
      </c>
      <c r="B259" s="77">
        <v>49</v>
      </c>
      <c r="C259" s="77">
        <v>-16.383333333333333</v>
      </c>
      <c r="D259" s="51">
        <v>15.847</v>
      </c>
      <c r="F259">
        <f t="shared" si="16"/>
        <v>6.4131158665519088E-4</v>
      </c>
      <c r="G259">
        <f t="shared" si="17"/>
        <v>1.8003896417175629E-2</v>
      </c>
      <c r="I259" s="78">
        <v>0.64131158665519084</v>
      </c>
      <c r="J259" s="78">
        <v>18.003896417175628</v>
      </c>
    </row>
    <row r="260" spans="1:10">
      <c r="A260" s="76">
        <v>38136</v>
      </c>
      <c r="B260" s="77">
        <v>49</v>
      </c>
      <c r="C260" s="77">
        <v>-16.383333333333333</v>
      </c>
      <c r="D260" s="51">
        <v>28.143999999999998</v>
      </c>
      <c r="F260">
        <f t="shared" si="16"/>
        <v>7.820610958442283E-4</v>
      </c>
      <c r="I260" s="78">
        <v>0.78206109584422834</v>
      </c>
      <c r="J260" s="78"/>
    </row>
    <row r="261" spans="1:10">
      <c r="A261" s="76">
        <v>38136</v>
      </c>
      <c r="B261" s="77">
        <v>49</v>
      </c>
      <c r="C261" s="77">
        <v>-16.383333333333333</v>
      </c>
      <c r="D261" s="51">
        <v>61.843000000000004</v>
      </c>
      <c r="F261">
        <f t="shared" si="16"/>
        <v>1.2552493456911449E-3</v>
      </c>
      <c r="G261">
        <f t="shared" si="17"/>
        <v>1.9616290647909325E-2</v>
      </c>
      <c r="I261" s="78">
        <v>1.2552493456911449</v>
      </c>
      <c r="J261" s="78">
        <v>19.616290647909324</v>
      </c>
    </row>
    <row r="262" spans="1:10">
      <c r="A262" s="76">
        <v>38136</v>
      </c>
      <c r="B262" s="77">
        <v>49</v>
      </c>
      <c r="C262" s="77">
        <v>-16.383333333333333</v>
      </c>
      <c r="D262" s="51">
        <v>92.394000000000005</v>
      </c>
      <c r="F262">
        <f t="shared" si="16"/>
        <v>1.8653765125398704E-4</v>
      </c>
      <c r="G262">
        <f t="shared" si="17"/>
        <v>5.8914851256263775E-3</v>
      </c>
      <c r="I262" s="79">
        <v>0.18653765125398702</v>
      </c>
      <c r="J262" s="79">
        <v>5.8914851256263772</v>
      </c>
    </row>
  </sheetData>
  <phoneticPr fontId="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CBA9-2CB2-1C48-B763-177F10378212}">
  <dimension ref="A1:W61"/>
  <sheetViews>
    <sheetView workbookViewId="0">
      <selection activeCell="G1" activeCellId="2" sqref="B1:D1 F1 G1:I1"/>
    </sheetView>
  </sheetViews>
  <sheetFormatPr baseColWidth="10" defaultRowHeight="20"/>
  <cols>
    <col min="1" max="1" width="15.5703125" bestFit="1" customWidth="1"/>
    <col min="2" max="4" width="15.5703125" customWidth="1"/>
    <col min="20" max="20" width="15.5703125" bestFit="1" customWidth="1"/>
  </cols>
  <sheetData>
    <row r="1" spans="1:23">
      <c r="A1" t="s">
        <v>58</v>
      </c>
      <c r="B1" t="s">
        <v>419</v>
      </c>
      <c r="C1" t="s">
        <v>4</v>
      </c>
      <c r="D1" t="s">
        <v>5</v>
      </c>
      <c r="E1" t="s">
        <v>333</v>
      </c>
      <c r="F1" t="s">
        <v>383</v>
      </c>
      <c r="G1" s="10" t="s">
        <v>53</v>
      </c>
      <c r="H1" s="8" t="s">
        <v>52</v>
      </c>
      <c r="I1" s="7" t="s">
        <v>421</v>
      </c>
      <c r="J1" t="s">
        <v>321</v>
      </c>
      <c r="K1" t="s">
        <v>343</v>
      </c>
      <c r="L1" t="s">
        <v>320</v>
      </c>
      <c r="M1" t="s">
        <v>344</v>
      </c>
      <c r="N1" t="s">
        <v>345</v>
      </c>
      <c r="O1" t="s">
        <v>234</v>
      </c>
      <c r="P1" t="s">
        <v>347</v>
      </c>
      <c r="Q1" t="s">
        <v>348</v>
      </c>
      <c r="R1" t="s">
        <v>346</v>
      </c>
      <c r="S1" t="s">
        <v>334</v>
      </c>
      <c r="T1" s="42" t="s">
        <v>446</v>
      </c>
      <c r="U1" t="s">
        <v>58</v>
      </c>
    </row>
    <row r="2" spans="1:23">
      <c r="A2" t="s">
        <v>349</v>
      </c>
      <c r="B2" s="1">
        <v>39508</v>
      </c>
      <c r="C2">
        <f t="shared" ref="C2:C33" si="0">VLOOKUP($A2,$U$2:$W$13,2,FALSE)</f>
        <v>-34.380000000000003</v>
      </c>
      <c r="D2">
        <f t="shared" ref="D2:D33" si="1">VLOOKUP($A2,$U$2:$W$13,3,FALSE)</f>
        <v>14.37</v>
      </c>
      <c r="E2">
        <v>47</v>
      </c>
      <c r="F2">
        <v>1</v>
      </c>
      <c r="G2">
        <f>P2/1000/24</f>
        <v>5.2916666666666661E-4</v>
      </c>
      <c r="H2">
        <f t="shared" ref="H2:I2" si="2">Q2/1000/24</f>
        <v>1.2791666666666665E-3</v>
      </c>
      <c r="I2">
        <f t="shared" si="2"/>
        <v>5.9999999999999995E-4</v>
      </c>
      <c r="J2">
        <v>0.05</v>
      </c>
      <c r="K2">
        <v>5.36</v>
      </c>
      <c r="L2">
        <v>0.94</v>
      </c>
      <c r="M2" t="s">
        <v>335</v>
      </c>
      <c r="N2">
        <v>0.06</v>
      </c>
      <c r="O2">
        <v>0.22</v>
      </c>
      <c r="P2">
        <v>12.7</v>
      </c>
      <c r="Q2">
        <v>30.7</v>
      </c>
      <c r="R2">
        <v>14.4</v>
      </c>
      <c r="S2">
        <v>0.25</v>
      </c>
      <c r="U2" t="s">
        <v>349</v>
      </c>
      <c r="V2">
        <v>-34.380000000000003</v>
      </c>
      <c r="W2">
        <v>14.37</v>
      </c>
    </row>
    <row r="3" spans="1:23">
      <c r="A3" t="s">
        <v>349</v>
      </c>
      <c r="B3" s="1">
        <v>39508</v>
      </c>
      <c r="C3">
        <f t="shared" si="0"/>
        <v>-34.380000000000003</v>
      </c>
      <c r="D3">
        <f t="shared" si="1"/>
        <v>14.37</v>
      </c>
      <c r="E3">
        <v>47</v>
      </c>
      <c r="F3">
        <v>10</v>
      </c>
      <c r="G3">
        <f t="shared" ref="G3:G61" si="3">P3/1000/24</f>
        <v>1.0833333333333333E-3</v>
      </c>
      <c r="H3">
        <f t="shared" ref="H3:H61" si="4">Q3/1000/24</f>
        <v>1.2708333333333332E-3</v>
      </c>
      <c r="I3">
        <f t="shared" ref="I3:I61" si="5">R3/1000/24</f>
        <v>3.9583333333333332E-4</v>
      </c>
      <c r="J3">
        <v>0.05</v>
      </c>
      <c r="K3">
        <v>8.1300000000000008</v>
      </c>
      <c r="L3">
        <v>0.68</v>
      </c>
      <c r="M3" t="s">
        <v>335</v>
      </c>
      <c r="N3">
        <v>0.05</v>
      </c>
      <c r="O3">
        <v>0.33</v>
      </c>
      <c r="P3">
        <v>26</v>
      </c>
      <c r="Q3">
        <v>30.5</v>
      </c>
      <c r="R3">
        <v>9.5</v>
      </c>
      <c r="S3">
        <v>0.14000000000000001</v>
      </c>
      <c r="U3" t="s">
        <v>336</v>
      </c>
      <c r="V3">
        <v>-36.46</v>
      </c>
      <c r="W3">
        <v>13.09</v>
      </c>
    </row>
    <row r="4" spans="1:23">
      <c r="A4" t="s">
        <v>349</v>
      </c>
      <c r="B4" s="1">
        <v>39508</v>
      </c>
      <c r="C4">
        <f t="shared" si="0"/>
        <v>-34.380000000000003</v>
      </c>
      <c r="D4">
        <f t="shared" si="1"/>
        <v>14.37</v>
      </c>
      <c r="E4">
        <v>47</v>
      </c>
      <c r="F4">
        <v>30</v>
      </c>
      <c r="G4">
        <f t="shared" si="3"/>
        <v>1.2083333333333334E-3</v>
      </c>
      <c r="H4">
        <f t="shared" si="4"/>
        <v>8.3333333333333339E-4</v>
      </c>
      <c r="I4">
        <f t="shared" si="5"/>
        <v>5.7916666666666674E-4</v>
      </c>
      <c r="J4">
        <v>0.06</v>
      </c>
      <c r="K4">
        <v>1.86</v>
      </c>
      <c r="L4">
        <v>0.25</v>
      </c>
      <c r="M4" t="s">
        <v>335</v>
      </c>
      <c r="N4">
        <v>0.01</v>
      </c>
      <c r="O4">
        <v>0.11</v>
      </c>
      <c r="P4">
        <v>29</v>
      </c>
      <c r="Q4">
        <v>20</v>
      </c>
      <c r="R4">
        <v>13.9</v>
      </c>
      <c r="S4">
        <v>0.22</v>
      </c>
      <c r="U4" t="s">
        <v>337</v>
      </c>
      <c r="V4">
        <v>-41.06</v>
      </c>
      <c r="W4">
        <v>9.9</v>
      </c>
    </row>
    <row r="5" spans="1:23">
      <c r="A5" t="s">
        <v>349</v>
      </c>
      <c r="B5" s="1">
        <v>39508</v>
      </c>
      <c r="C5">
        <f t="shared" si="0"/>
        <v>-34.380000000000003</v>
      </c>
      <c r="D5">
        <f t="shared" si="1"/>
        <v>14.37</v>
      </c>
      <c r="E5">
        <v>47</v>
      </c>
      <c r="F5">
        <v>50.8</v>
      </c>
      <c r="G5">
        <f t="shared" si="3"/>
        <v>1.4166666666666668E-3</v>
      </c>
      <c r="H5">
        <f t="shared" si="4"/>
        <v>2.075E-3</v>
      </c>
      <c r="I5">
        <f t="shared" si="5"/>
        <v>9.1250000000000001E-4</v>
      </c>
      <c r="J5">
        <v>0.11</v>
      </c>
      <c r="K5">
        <v>4.78</v>
      </c>
      <c r="L5">
        <v>0.82</v>
      </c>
      <c r="M5" t="s">
        <v>335</v>
      </c>
      <c r="N5">
        <v>0.02</v>
      </c>
      <c r="O5">
        <v>0.33</v>
      </c>
      <c r="P5">
        <v>34</v>
      </c>
      <c r="Q5">
        <v>49.8</v>
      </c>
      <c r="R5">
        <v>21.9</v>
      </c>
      <c r="S5">
        <v>0.2</v>
      </c>
      <c r="U5" t="s">
        <v>350</v>
      </c>
      <c r="V5">
        <v>-42.47</v>
      </c>
      <c r="W5">
        <v>8.9499999999999993</v>
      </c>
    </row>
    <row r="6" spans="1:23">
      <c r="A6" t="s">
        <v>349</v>
      </c>
      <c r="B6" s="1">
        <v>39508</v>
      </c>
      <c r="C6">
        <f t="shared" si="0"/>
        <v>-34.380000000000003</v>
      </c>
      <c r="D6">
        <f t="shared" si="1"/>
        <v>14.37</v>
      </c>
      <c r="E6">
        <v>47</v>
      </c>
      <c r="F6">
        <v>80.900000000000006</v>
      </c>
      <c r="G6">
        <f t="shared" si="3"/>
        <v>1.1250000000000001E-4</v>
      </c>
      <c r="H6">
        <f t="shared" si="4"/>
        <v>2.5708333333333334E-3</v>
      </c>
      <c r="I6">
        <f t="shared" si="5"/>
        <v>2.0416666666666671E-4</v>
      </c>
      <c r="J6">
        <v>0.47</v>
      </c>
      <c r="K6">
        <v>3.36</v>
      </c>
      <c r="L6">
        <v>0.46</v>
      </c>
      <c r="M6">
        <v>2.2400000000000002</v>
      </c>
      <c r="N6">
        <v>0.01</v>
      </c>
      <c r="O6">
        <v>0.33</v>
      </c>
      <c r="P6">
        <v>2.7</v>
      </c>
      <c r="Q6">
        <v>61.7</v>
      </c>
      <c r="R6">
        <v>4.9000000000000004</v>
      </c>
      <c r="S6">
        <v>7.0000000000000007E-2</v>
      </c>
      <c r="U6" t="s">
        <v>351</v>
      </c>
      <c r="V6">
        <v>-44.84</v>
      </c>
      <c r="W6">
        <v>6.84</v>
      </c>
    </row>
    <row r="7" spans="1:23">
      <c r="A7" t="s">
        <v>336</v>
      </c>
      <c r="B7" s="1">
        <v>39508</v>
      </c>
      <c r="C7">
        <f t="shared" si="0"/>
        <v>-36.46</v>
      </c>
      <c r="D7">
        <f t="shared" si="1"/>
        <v>13.09</v>
      </c>
      <c r="E7">
        <v>10</v>
      </c>
      <c r="F7">
        <v>1</v>
      </c>
      <c r="G7">
        <f t="shared" si="3"/>
        <v>7.2499999999999995E-4</v>
      </c>
      <c r="H7">
        <f t="shared" si="4"/>
        <v>1.0212499999999999E-2</v>
      </c>
      <c r="I7">
        <f t="shared" si="5"/>
        <v>2.2916666666666666E-4</v>
      </c>
      <c r="J7">
        <v>0.14000000000000001</v>
      </c>
      <c r="K7">
        <v>4.3600000000000003</v>
      </c>
      <c r="L7">
        <v>0.59</v>
      </c>
      <c r="M7" t="s">
        <v>335</v>
      </c>
      <c r="N7">
        <v>0.02</v>
      </c>
      <c r="O7">
        <v>0.86</v>
      </c>
      <c r="P7">
        <v>17.399999999999999</v>
      </c>
      <c r="Q7">
        <v>245.1</v>
      </c>
      <c r="R7">
        <v>5.5</v>
      </c>
      <c r="S7">
        <v>0.02</v>
      </c>
      <c r="U7" t="s">
        <v>338</v>
      </c>
      <c r="V7">
        <v>-45.96</v>
      </c>
      <c r="W7">
        <v>5.89</v>
      </c>
    </row>
    <row r="8" spans="1:23">
      <c r="A8" t="s">
        <v>336</v>
      </c>
      <c r="B8" s="1">
        <v>39508</v>
      </c>
      <c r="C8">
        <f t="shared" si="0"/>
        <v>-36.46</v>
      </c>
      <c r="D8">
        <f t="shared" si="1"/>
        <v>13.09</v>
      </c>
      <c r="E8">
        <v>10</v>
      </c>
      <c r="F8">
        <v>7.9</v>
      </c>
      <c r="G8">
        <f t="shared" si="3"/>
        <v>7.6666666666666669E-4</v>
      </c>
      <c r="H8">
        <f t="shared" si="4"/>
        <v>1.1950000000000001E-2</v>
      </c>
      <c r="I8">
        <f t="shared" si="5"/>
        <v>8.4583333333333342E-4</v>
      </c>
      <c r="J8">
        <v>0.16</v>
      </c>
      <c r="K8">
        <v>4.5</v>
      </c>
      <c r="L8">
        <v>0.62</v>
      </c>
      <c r="M8" t="s">
        <v>335</v>
      </c>
      <c r="N8">
        <v>0.01</v>
      </c>
      <c r="O8">
        <v>0.76</v>
      </c>
      <c r="P8">
        <v>18.399999999999999</v>
      </c>
      <c r="Q8">
        <v>286.8</v>
      </c>
      <c r="R8">
        <v>20.3</v>
      </c>
      <c r="S8">
        <v>0.06</v>
      </c>
      <c r="U8" t="s">
        <v>339</v>
      </c>
      <c r="V8">
        <v>-47.51</v>
      </c>
      <c r="W8">
        <v>4.42</v>
      </c>
    </row>
    <row r="9" spans="1:23">
      <c r="A9" t="s">
        <v>336</v>
      </c>
      <c r="B9" s="1">
        <v>39508</v>
      </c>
      <c r="C9">
        <f t="shared" si="0"/>
        <v>-36.46</v>
      </c>
      <c r="D9">
        <f t="shared" si="1"/>
        <v>13.09</v>
      </c>
      <c r="E9">
        <v>10</v>
      </c>
      <c r="F9">
        <v>14</v>
      </c>
      <c r="G9">
        <f t="shared" si="3"/>
        <v>8.4583333333333342E-4</v>
      </c>
      <c r="H9">
        <f t="shared" si="4"/>
        <v>1.4479166666666666E-2</v>
      </c>
      <c r="I9">
        <f t="shared" si="5"/>
        <v>7.4166666666666662E-4</v>
      </c>
      <c r="J9">
        <v>0.17</v>
      </c>
      <c r="K9">
        <v>5.0599999999999996</v>
      </c>
      <c r="L9">
        <v>0.64</v>
      </c>
      <c r="M9" t="s">
        <v>335</v>
      </c>
      <c r="N9">
        <v>0.06</v>
      </c>
      <c r="O9">
        <v>0.32</v>
      </c>
      <c r="P9">
        <v>20.3</v>
      </c>
      <c r="Q9">
        <v>347.5</v>
      </c>
      <c r="R9">
        <v>17.8</v>
      </c>
      <c r="S9">
        <v>0.05</v>
      </c>
      <c r="U9" t="s">
        <v>352</v>
      </c>
      <c r="V9">
        <v>-49</v>
      </c>
      <c r="W9">
        <v>2.76</v>
      </c>
    </row>
    <row r="10" spans="1:23">
      <c r="A10" t="s">
        <v>336</v>
      </c>
      <c r="B10" s="1">
        <v>39508</v>
      </c>
      <c r="C10">
        <f t="shared" si="0"/>
        <v>-36.46</v>
      </c>
      <c r="D10">
        <f t="shared" si="1"/>
        <v>13.09</v>
      </c>
      <c r="E10">
        <v>10</v>
      </c>
      <c r="F10">
        <v>40.200000000000003</v>
      </c>
      <c r="G10">
        <f t="shared" si="3"/>
        <v>6.7916666666666679E-4</v>
      </c>
      <c r="H10">
        <f t="shared" si="4"/>
        <v>1.40625E-2</v>
      </c>
      <c r="I10">
        <f t="shared" si="5"/>
        <v>7.5833333333333341E-4</v>
      </c>
      <c r="J10">
        <v>0.2</v>
      </c>
      <c r="K10">
        <v>5.42</v>
      </c>
      <c r="L10">
        <v>0.71</v>
      </c>
      <c r="M10" t="s">
        <v>335</v>
      </c>
      <c r="N10">
        <v>0.1</v>
      </c>
      <c r="O10">
        <v>0.86</v>
      </c>
      <c r="P10">
        <v>16.3</v>
      </c>
      <c r="Q10">
        <v>337.5</v>
      </c>
      <c r="R10">
        <v>18.2</v>
      </c>
      <c r="S10">
        <v>0.05</v>
      </c>
      <c r="U10" t="s">
        <v>340</v>
      </c>
      <c r="V10">
        <v>-50.26</v>
      </c>
      <c r="W10">
        <v>1.23</v>
      </c>
    </row>
    <row r="11" spans="1:23">
      <c r="A11" t="s">
        <v>336</v>
      </c>
      <c r="B11" s="1">
        <v>39508</v>
      </c>
      <c r="C11">
        <f t="shared" si="0"/>
        <v>-36.46</v>
      </c>
      <c r="D11">
        <f t="shared" si="1"/>
        <v>13.09</v>
      </c>
      <c r="E11">
        <v>10</v>
      </c>
      <c r="F11">
        <v>53.6</v>
      </c>
      <c r="G11">
        <f t="shared" si="3"/>
        <v>2.0416666666666671E-4</v>
      </c>
      <c r="H11">
        <f t="shared" si="4"/>
        <v>1.1029166666666666E-2</v>
      </c>
      <c r="I11">
        <f t="shared" si="5"/>
        <v>2.0833333333333335E-4</v>
      </c>
      <c r="J11">
        <v>0.37</v>
      </c>
      <c r="K11">
        <v>7.06</v>
      </c>
      <c r="L11">
        <v>0.99</v>
      </c>
      <c r="M11" t="s">
        <v>335</v>
      </c>
      <c r="N11">
        <v>0.1</v>
      </c>
      <c r="O11">
        <v>0.76</v>
      </c>
      <c r="P11">
        <v>4.9000000000000004</v>
      </c>
      <c r="Q11">
        <v>264.7</v>
      </c>
      <c r="R11">
        <v>5</v>
      </c>
      <c r="S11">
        <v>0.02</v>
      </c>
      <c r="U11" t="s">
        <v>353</v>
      </c>
      <c r="V11">
        <v>-51.74</v>
      </c>
      <c r="W11">
        <v>-0.05</v>
      </c>
    </row>
    <row r="12" spans="1:23">
      <c r="A12" t="s">
        <v>337</v>
      </c>
      <c r="B12" s="1">
        <v>39508</v>
      </c>
      <c r="C12">
        <f t="shared" si="0"/>
        <v>-41.06</v>
      </c>
      <c r="D12">
        <f t="shared" si="1"/>
        <v>9.9</v>
      </c>
      <c r="E12">
        <v>17</v>
      </c>
      <c r="F12">
        <v>1</v>
      </c>
      <c r="G12">
        <f t="shared" si="3"/>
        <v>1.3750000000000001E-3</v>
      </c>
      <c r="H12">
        <f t="shared" si="4"/>
        <v>1.6270833333333335E-2</v>
      </c>
      <c r="I12">
        <f t="shared" si="5"/>
        <v>3.2499999999999999E-4</v>
      </c>
      <c r="J12">
        <v>0.49</v>
      </c>
      <c r="K12">
        <v>12.26</v>
      </c>
      <c r="L12">
        <v>1.93</v>
      </c>
      <c r="M12">
        <v>2.0099999999999998</v>
      </c>
      <c r="N12">
        <v>0.08</v>
      </c>
      <c r="O12">
        <v>1.21</v>
      </c>
      <c r="P12">
        <v>33</v>
      </c>
      <c r="Q12">
        <v>390.5</v>
      </c>
      <c r="R12">
        <v>7.8</v>
      </c>
      <c r="S12">
        <v>0.02</v>
      </c>
      <c r="U12" t="s">
        <v>341</v>
      </c>
      <c r="V12">
        <v>-55.53</v>
      </c>
      <c r="W12">
        <v>-0.05</v>
      </c>
    </row>
    <row r="13" spans="1:23">
      <c r="A13" t="s">
        <v>337</v>
      </c>
      <c r="B13" s="1">
        <v>39508</v>
      </c>
      <c r="C13">
        <f t="shared" si="0"/>
        <v>-41.06</v>
      </c>
      <c r="D13">
        <f t="shared" si="1"/>
        <v>9.9</v>
      </c>
      <c r="E13">
        <v>17</v>
      </c>
      <c r="F13">
        <v>3.3</v>
      </c>
      <c r="G13">
        <f t="shared" si="3"/>
        <v>1.5708333333333336E-3</v>
      </c>
      <c r="H13">
        <f t="shared" si="4"/>
        <v>7.0416666666666674E-3</v>
      </c>
      <c r="I13">
        <f t="shared" si="5"/>
        <v>1.5624999999999999E-3</v>
      </c>
      <c r="J13">
        <v>0.54</v>
      </c>
      <c r="K13">
        <v>12.26</v>
      </c>
      <c r="L13">
        <v>1.93</v>
      </c>
      <c r="M13">
        <v>2.0099999999999998</v>
      </c>
      <c r="N13">
        <v>0.08</v>
      </c>
      <c r="O13">
        <v>0.65</v>
      </c>
      <c r="P13">
        <v>37.700000000000003</v>
      </c>
      <c r="Q13">
        <v>169</v>
      </c>
      <c r="R13">
        <v>37.5</v>
      </c>
      <c r="S13">
        <v>0.15</v>
      </c>
      <c r="U13" t="s">
        <v>342</v>
      </c>
      <c r="V13">
        <v>-57.53</v>
      </c>
      <c r="W13">
        <v>0.02</v>
      </c>
    </row>
    <row r="14" spans="1:23">
      <c r="A14" t="s">
        <v>337</v>
      </c>
      <c r="B14" s="1">
        <v>39508</v>
      </c>
      <c r="C14">
        <f t="shared" si="0"/>
        <v>-41.06</v>
      </c>
      <c r="D14">
        <f t="shared" si="1"/>
        <v>9.9</v>
      </c>
      <c r="E14">
        <v>17</v>
      </c>
      <c r="F14">
        <v>7.8</v>
      </c>
      <c r="G14">
        <f t="shared" si="3"/>
        <v>1.7833333333333332E-3</v>
      </c>
      <c r="H14">
        <f t="shared" si="4"/>
        <v>1.2258333333333331E-2</v>
      </c>
      <c r="I14">
        <f t="shared" si="5"/>
        <v>2.2166666666666667E-3</v>
      </c>
      <c r="J14">
        <v>0.55000000000000004</v>
      </c>
      <c r="K14">
        <v>12.27</v>
      </c>
      <c r="L14">
        <v>1.77</v>
      </c>
      <c r="M14">
        <v>2.5</v>
      </c>
      <c r="N14">
        <v>0.1</v>
      </c>
      <c r="O14">
        <v>1.08</v>
      </c>
      <c r="P14">
        <v>42.8</v>
      </c>
      <c r="Q14">
        <v>294.2</v>
      </c>
      <c r="R14">
        <v>53.2</v>
      </c>
      <c r="S14">
        <v>0.14000000000000001</v>
      </c>
    </row>
    <row r="15" spans="1:23">
      <c r="A15" t="s">
        <v>337</v>
      </c>
      <c r="B15" s="1">
        <v>39508</v>
      </c>
      <c r="C15">
        <f t="shared" si="0"/>
        <v>-41.06</v>
      </c>
      <c r="D15">
        <f t="shared" si="1"/>
        <v>9.9</v>
      </c>
      <c r="E15">
        <v>17</v>
      </c>
      <c r="F15">
        <v>13.5</v>
      </c>
      <c r="G15">
        <f t="shared" si="3"/>
        <v>7.3333333333333334E-4</v>
      </c>
      <c r="H15">
        <f t="shared" si="4"/>
        <v>4.3749999999999995E-3</v>
      </c>
      <c r="I15">
        <f t="shared" si="5"/>
        <v>2.3583333333333334E-3</v>
      </c>
      <c r="J15">
        <v>0.56000000000000005</v>
      </c>
      <c r="K15">
        <v>10.119999999999999</v>
      </c>
      <c r="L15">
        <v>1.88</v>
      </c>
      <c r="M15">
        <v>3</v>
      </c>
      <c r="N15">
        <v>0.03</v>
      </c>
      <c r="O15">
        <v>0.76</v>
      </c>
      <c r="P15">
        <v>17.600000000000001</v>
      </c>
      <c r="Q15">
        <v>105</v>
      </c>
      <c r="R15">
        <v>56.6</v>
      </c>
      <c r="S15">
        <v>0.32</v>
      </c>
    </row>
    <row r="16" spans="1:23">
      <c r="A16" t="s">
        <v>337</v>
      </c>
      <c r="B16" s="1">
        <v>39508</v>
      </c>
      <c r="C16">
        <f t="shared" si="0"/>
        <v>-41.06</v>
      </c>
      <c r="D16">
        <f t="shared" si="1"/>
        <v>9.9</v>
      </c>
      <c r="E16">
        <v>17</v>
      </c>
      <c r="F16">
        <v>35.4</v>
      </c>
      <c r="G16">
        <f t="shared" si="3"/>
        <v>2.4583333333333336E-4</v>
      </c>
      <c r="H16">
        <f t="shared" si="4"/>
        <v>1.7333333333333333E-3</v>
      </c>
      <c r="I16">
        <f t="shared" si="5"/>
        <v>2.9166666666666669E-4</v>
      </c>
      <c r="J16">
        <v>0.4</v>
      </c>
      <c r="K16">
        <v>6.07</v>
      </c>
      <c r="L16">
        <v>0.9</v>
      </c>
      <c r="M16">
        <v>3.99</v>
      </c>
      <c r="N16">
        <v>0.51</v>
      </c>
      <c r="O16">
        <v>0.65</v>
      </c>
      <c r="P16">
        <v>5.9</v>
      </c>
      <c r="Q16">
        <v>41.6</v>
      </c>
      <c r="R16">
        <v>7</v>
      </c>
      <c r="S16">
        <v>0.13</v>
      </c>
    </row>
    <row r="17" spans="1:19">
      <c r="A17" t="s">
        <v>350</v>
      </c>
      <c r="B17" s="1">
        <v>39508</v>
      </c>
      <c r="C17">
        <f t="shared" si="0"/>
        <v>-42.47</v>
      </c>
      <c r="D17">
        <f t="shared" si="1"/>
        <v>8.9499999999999993</v>
      </c>
      <c r="E17">
        <v>75</v>
      </c>
      <c r="F17">
        <v>1</v>
      </c>
      <c r="G17">
        <f t="shared" si="3"/>
        <v>6.625E-4</v>
      </c>
      <c r="H17">
        <f t="shared" si="4"/>
        <v>2.0833333333333333E-3</v>
      </c>
      <c r="I17">
        <f t="shared" si="5"/>
        <v>1.7083333333333334E-3</v>
      </c>
      <c r="J17">
        <v>0.35</v>
      </c>
      <c r="K17">
        <v>7.7</v>
      </c>
      <c r="L17">
        <v>1.3</v>
      </c>
      <c r="M17">
        <v>11.04</v>
      </c>
      <c r="N17">
        <v>0.09</v>
      </c>
      <c r="O17">
        <v>1.26</v>
      </c>
      <c r="P17">
        <v>15.9</v>
      </c>
      <c r="Q17">
        <v>50</v>
      </c>
      <c r="R17">
        <v>41</v>
      </c>
      <c r="S17">
        <v>0.38</v>
      </c>
    </row>
    <row r="18" spans="1:19">
      <c r="A18" t="s">
        <v>350</v>
      </c>
      <c r="B18" s="1">
        <v>39508</v>
      </c>
      <c r="C18">
        <f t="shared" si="0"/>
        <v>-42.47</v>
      </c>
      <c r="D18">
        <f t="shared" si="1"/>
        <v>8.9499999999999993</v>
      </c>
      <c r="E18">
        <v>75</v>
      </c>
      <c r="F18">
        <v>5</v>
      </c>
      <c r="G18">
        <f t="shared" si="3"/>
        <v>1.2541666666666667E-3</v>
      </c>
      <c r="H18">
        <f t="shared" si="4"/>
        <v>8.3000000000000001E-3</v>
      </c>
      <c r="I18">
        <f t="shared" si="5"/>
        <v>6.5499999999999994E-3</v>
      </c>
      <c r="J18">
        <v>0.35</v>
      </c>
      <c r="K18">
        <v>7.24</v>
      </c>
      <c r="L18">
        <v>1.48</v>
      </c>
      <c r="M18">
        <v>10.8</v>
      </c>
      <c r="N18">
        <v>0.09</v>
      </c>
      <c r="O18">
        <v>2.11</v>
      </c>
      <c r="P18">
        <v>30.1</v>
      </c>
      <c r="Q18">
        <v>199.2</v>
      </c>
      <c r="R18">
        <v>157.19999999999999</v>
      </c>
      <c r="S18">
        <v>0.63</v>
      </c>
    </row>
    <row r="19" spans="1:19">
      <c r="A19" t="s">
        <v>350</v>
      </c>
      <c r="B19" s="1">
        <v>39508</v>
      </c>
      <c r="C19">
        <f t="shared" si="0"/>
        <v>-42.47</v>
      </c>
      <c r="D19">
        <f t="shared" si="1"/>
        <v>8.9499999999999993</v>
      </c>
      <c r="E19">
        <v>75</v>
      </c>
      <c r="F19">
        <v>9.6</v>
      </c>
      <c r="G19">
        <f t="shared" si="3"/>
        <v>9.0833333333333337E-4</v>
      </c>
      <c r="H19">
        <f t="shared" si="4"/>
        <v>4.0666666666666663E-3</v>
      </c>
      <c r="I19">
        <f t="shared" si="5"/>
        <v>7.6541666666666668E-3</v>
      </c>
      <c r="J19">
        <v>0.35</v>
      </c>
      <c r="K19">
        <v>7.68</v>
      </c>
      <c r="L19">
        <v>1.55</v>
      </c>
      <c r="M19">
        <v>10.8</v>
      </c>
      <c r="N19">
        <v>0.09</v>
      </c>
      <c r="O19">
        <v>0.84</v>
      </c>
      <c r="P19">
        <v>21.8</v>
      </c>
      <c r="Q19">
        <v>97.6</v>
      </c>
      <c r="R19">
        <v>183.7</v>
      </c>
      <c r="S19">
        <v>0.5</v>
      </c>
    </row>
    <row r="20" spans="1:19">
      <c r="A20" t="s">
        <v>350</v>
      </c>
      <c r="B20" s="1">
        <v>39508</v>
      </c>
      <c r="C20">
        <f t="shared" si="0"/>
        <v>-42.47</v>
      </c>
      <c r="D20">
        <f t="shared" si="1"/>
        <v>8.9499999999999993</v>
      </c>
      <c r="E20">
        <v>75</v>
      </c>
      <c r="F20">
        <v>21.9</v>
      </c>
      <c r="G20">
        <f t="shared" si="3"/>
        <v>1.0791666666666666E-3</v>
      </c>
      <c r="H20">
        <f t="shared" si="4"/>
        <v>4.3791666666666666E-3</v>
      </c>
      <c r="I20">
        <f t="shared" si="5"/>
        <v>5.508333333333333E-3</v>
      </c>
      <c r="J20">
        <v>0.34</v>
      </c>
      <c r="K20">
        <v>7.48</v>
      </c>
      <c r="L20">
        <v>1.3</v>
      </c>
      <c r="M20">
        <v>10.8</v>
      </c>
      <c r="N20">
        <v>0.09</v>
      </c>
      <c r="O20">
        <v>1.37</v>
      </c>
      <c r="P20">
        <v>25.9</v>
      </c>
      <c r="Q20">
        <v>105.1</v>
      </c>
      <c r="R20">
        <v>132.19999999999999</v>
      </c>
      <c r="S20">
        <v>0.5</v>
      </c>
    </row>
    <row r="21" spans="1:19">
      <c r="A21" t="s">
        <v>350</v>
      </c>
      <c r="B21" s="1">
        <v>39508</v>
      </c>
      <c r="C21">
        <f t="shared" si="0"/>
        <v>-42.47</v>
      </c>
      <c r="D21">
        <f t="shared" si="1"/>
        <v>8.9499999999999993</v>
      </c>
      <c r="E21">
        <v>75</v>
      </c>
      <c r="F21">
        <v>50.6</v>
      </c>
      <c r="G21">
        <f t="shared" si="3"/>
        <v>7.4999999999999993E-5</v>
      </c>
      <c r="H21">
        <f t="shared" si="4"/>
        <v>1.9458333333333335E-3</v>
      </c>
      <c r="I21">
        <f t="shared" si="5"/>
        <v>2.2791666666666668E-3</v>
      </c>
      <c r="J21">
        <v>0.38</v>
      </c>
      <c r="K21">
        <v>5.78</v>
      </c>
      <c r="L21">
        <v>0.89</v>
      </c>
      <c r="M21">
        <v>6.03</v>
      </c>
      <c r="N21">
        <v>0.09</v>
      </c>
      <c r="O21">
        <v>1.26</v>
      </c>
      <c r="P21">
        <v>1.8</v>
      </c>
      <c r="Q21">
        <v>46.7</v>
      </c>
      <c r="R21">
        <v>54.7</v>
      </c>
      <c r="S21">
        <v>0.53</v>
      </c>
    </row>
    <row r="22" spans="1:19">
      <c r="A22" t="s">
        <v>351</v>
      </c>
      <c r="B22" s="1">
        <v>39508</v>
      </c>
      <c r="C22">
        <f t="shared" si="0"/>
        <v>-44.84</v>
      </c>
      <c r="D22">
        <f t="shared" si="1"/>
        <v>6.84</v>
      </c>
      <c r="E22">
        <v>47</v>
      </c>
      <c r="F22">
        <v>1</v>
      </c>
      <c r="G22">
        <f t="shared" si="3"/>
        <v>9.7499999999999985E-4</v>
      </c>
      <c r="H22">
        <f t="shared" si="4"/>
        <v>1.1000000000000001E-3</v>
      </c>
      <c r="I22">
        <f t="shared" si="5"/>
        <v>1.2791666666666665E-3</v>
      </c>
      <c r="J22">
        <v>0.25</v>
      </c>
      <c r="K22">
        <v>4.78</v>
      </c>
      <c r="L22">
        <v>0.78</v>
      </c>
      <c r="M22">
        <v>17.79</v>
      </c>
      <c r="N22">
        <v>0.31</v>
      </c>
      <c r="O22">
        <v>0.71</v>
      </c>
      <c r="P22">
        <v>23.4</v>
      </c>
      <c r="Q22">
        <v>26.4</v>
      </c>
      <c r="R22">
        <v>30.7</v>
      </c>
      <c r="S22">
        <v>0.38</v>
      </c>
    </row>
    <row r="23" spans="1:19">
      <c r="A23" t="s">
        <v>351</v>
      </c>
      <c r="B23" s="1">
        <v>39508</v>
      </c>
      <c r="C23">
        <f t="shared" si="0"/>
        <v>-44.84</v>
      </c>
      <c r="D23">
        <f t="shared" si="1"/>
        <v>6.84</v>
      </c>
      <c r="E23">
        <v>47</v>
      </c>
      <c r="F23">
        <v>10</v>
      </c>
      <c r="H23">
        <f t="shared" si="4"/>
        <v>2.1125000000000002E-3</v>
      </c>
      <c r="J23">
        <v>0.25</v>
      </c>
      <c r="K23">
        <v>4.57</v>
      </c>
      <c r="L23">
        <v>0.64</v>
      </c>
      <c r="M23" t="s">
        <v>7</v>
      </c>
      <c r="N23" t="s">
        <v>7</v>
      </c>
      <c r="O23">
        <v>1.29</v>
      </c>
      <c r="P23" t="s">
        <v>7</v>
      </c>
      <c r="Q23">
        <v>50.7</v>
      </c>
      <c r="R23" t="s">
        <v>7</v>
      </c>
      <c r="S23" t="s">
        <v>7</v>
      </c>
    </row>
    <row r="24" spans="1:19">
      <c r="A24" t="s">
        <v>351</v>
      </c>
      <c r="B24" s="1">
        <v>39508</v>
      </c>
      <c r="C24">
        <f t="shared" si="0"/>
        <v>-44.84</v>
      </c>
      <c r="D24">
        <f t="shared" si="1"/>
        <v>6.84</v>
      </c>
      <c r="E24">
        <v>47</v>
      </c>
      <c r="F24">
        <v>20</v>
      </c>
      <c r="G24">
        <f t="shared" si="3"/>
        <v>1.075E-3</v>
      </c>
      <c r="H24">
        <f t="shared" si="4"/>
        <v>1.4333333333333333E-3</v>
      </c>
      <c r="J24">
        <v>0.25</v>
      </c>
      <c r="K24">
        <v>4.78</v>
      </c>
      <c r="L24">
        <v>0.64</v>
      </c>
      <c r="M24" t="s">
        <v>7</v>
      </c>
      <c r="N24">
        <v>0.31</v>
      </c>
      <c r="O24">
        <v>0.92</v>
      </c>
      <c r="P24">
        <v>25.8</v>
      </c>
      <c r="Q24">
        <v>34.4</v>
      </c>
      <c r="R24" t="s">
        <v>7</v>
      </c>
      <c r="S24" t="s">
        <v>7</v>
      </c>
    </row>
    <row r="25" spans="1:19">
      <c r="A25" t="s">
        <v>351</v>
      </c>
      <c r="B25" s="1">
        <v>39508</v>
      </c>
      <c r="C25">
        <f t="shared" si="0"/>
        <v>-44.84</v>
      </c>
      <c r="D25">
        <f t="shared" si="1"/>
        <v>6.84</v>
      </c>
      <c r="E25">
        <v>47</v>
      </c>
      <c r="F25">
        <v>40</v>
      </c>
      <c r="H25">
        <f t="shared" si="4"/>
        <v>1.4833333333333332E-3</v>
      </c>
      <c r="J25">
        <v>0.26</v>
      </c>
      <c r="K25">
        <v>4.6500000000000004</v>
      </c>
      <c r="L25">
        <v>0.78</v>
      </c>
      <c r="M25" t="s">
        <v>7</v>
      </c>
      <c r="N25" t="s">
        <v>7</v>
      </c>
      <c r="O25">
        <v>0.59</v>
      </c>
      <c r="P25" t="s">
        <v>7</v>
      </c>
      <c r="Q25">
        <v>35.6</v>
      </c>
      <c r="R25" t="s">
        <v>7</v>
      </c>
      <c r="S25" t="s">
        <v>7</v>
      </c>
    </row>
    <row r="26" spans="1:19">
      <c r="A26" t="s">
        <v>351</v>
      </c>
      <c r="B26" s="1">
        <v>39508</v>
      </c>
      <c r="C26">
        <f t="shared" si="0"/>
        <v>-44.84</v>
      </c>
      <c r="D26">
        <f t="shared" si="1"/>
        <v>6.84</v>
      </c>
      <c r="E26">
        <v>47</v>
      </c>
      <c r="F26">
        <v>60.9</v>
      </c>
      <c r="G26">
        <f t="shared" si="3"/>
        <v>1.708333333333333E-4</v>
      </c>
      <c r="I26">
        <f t="shared" si="5"/>
        <v>2.3666666666666667E-3</v>
      </c>
      <c r="J26">
        <v>0.25</v>
      </c>
      <c r="K26">
        <v>4.57</v>
      </c>
      <c r="L26">
        <v>0.64</v>
      </c>
      <c r="M26">
        <v>17.670000000000002</v>
      </c>
      <c r="N26">
        <v>0.31</v>
      </c>
      <c r="O26" t="s">
        <v>7</v>
      </c>
      <c r="P26">
        <v>4.0999999999999996</v>
      </c>
      <c r="Q26" t="s">
        <v>7</v>
      </c>
      <c r="R26">
        <v>56.8</v>
      </c>
      <c r="S26">
        <v>0.92</v>
      </c>
    </row>
    <row r="27" spans="1:19">
      <c r="A27" t="s">
        <v>338</v>
      </c>
      <c r="B27" s="1">
        <v>39508</v>
      </c>
      <c r="C27">
        <f t="shared" si="0"/>
        <v>-45.96</v>
      </c>
      <c r="D27">
        <f t="shared" si="1"/>
        <v>5.89</v>
      </c>
      <c r="E27">
        <v>81</v>
      </c>
      <c r="F27">
        <v>1</v>
      </c>
      <c r="G27">
        <f t="shared" si="3"/>
        <v>2.6249999999999998E-4</v>
      </c>
      <c r="H27">
        <f t="shared" si="4"/>
        <v>1.4999999999999998E-3</v>
      </c>
      <c r="I27">
        <f t="shared" si="5"/>
        <v>7.3333333333333334E-4</v>
      </c>
      <c r="J27">
        <v>0.4</v>
      </c>
      <c r="K27">
        <v>6.97</v>
      </c>
      <c r="L27">
        <v>0.78</v>
      </c>
      <c r="M27">
        <v>18.68</v>
      </c>
      <c r="N27">
        <v>0.67</v>
      </c>
      <c r="O27">
        <v>1.37</v>
      </c>
      <c r="P27">
        <v>6.3</v>
      </c>
      <c r="Q27">
        <v>36</v>
      </c>
      <c r="R27">
        <v>17.600000000000001</v>
      </c>
      <c r="S27">
        <v>0.28999999999999998</v>
      </c>
    </row>
    <row r="28" spans="1:19">
      <c r="A28" t="s">
        <v>338</v>
      </c>
      <c r="B28" s="1">
        <v>39508</v>
      </c>
      <c r="C28">
        <f t="shared" si="0"/>
        <v>-45.96</v>
      </c>
      <c r="D28">
        <f t="shared" si="1"/>
        <v>5.89</v>
      </c>
      <c r="E28">
        <v>81</v>
      </c>
      <c r="F28">
        <v>10</v>
      </c>
      <c r="G28">
        <f t="shared" si="3"/>
        <v>9.1666666666666665E-4</v>
      </c>
      <c r="H28">
        <f t="shared" si="4"/>
        <v>7.5833333333333341E-4</v>
      </c>
      <c r="I28">
        <f t="shared" si="5"/>
        <v>1.3791666666666668E-3</v>
      </c>
      <c r="J28">
        <v>0.4</v>
      </c>
      <c r="K28">
        <v>6.67</v>
      </c>
      <c r="L28">
        <v>0.8</v>
      </c>
      <c r="M28">
        <v>18.440000000000001</v>
      </c>
      <c r="N28">
        <v>0.67</v>
      </c>
      <c r="O28">
        <v>0.91</v>
      </c>
      <c r="P28">
        <v>22</v>
      </c>
      <c r="Q28">
        <v>18.2</v>
      </c>
      <c r="R28">
        <v>33.1</v>
      </c>
      <c r="S28">
        <v>0.45</v>
      </c>
    </row>
    <row r="29" spans="1:19">
      <c r="A29" t="s">
        <v>338</v>
      </c>
      <c r="B29" s="1">
        <v>39508</v>
      </c>
      <c r="C29">
        <f t="shared" si="0"/>
        <v>-45.96</v>
      </c>
      <c r="D29">
        <f t="shared" si="1"/>
        <v>5.89</v>
      </c>
      <c r="E29">
        <v>81</v>
      </c>
      <c r="F29">
        <v>20.9</v>
      </c>
      <c r="G29">
        <f t="shared" si="3"/>
        <v>1.2458333333333334E-3</v>
      </c>
      <c r="H29">
        <f t="shared" si="4"/>
        <v>1.6708333333333334E-3</v>
      </c>
      <c r="I29">
        <f t="shared" si="5"/>
        <v>2.2333333333333333E-3</v>
      </c>
      <c r="J29">
        <v>0.4</v>
      </c>
      <c r="K29">
        <v>6.67</v>
      </c>
      <c r="L29">
        <v>0.8</v>
      </c>
      <c r="M29">
        <v>18.440000000000001</v>
      </c>
      <c r="N29">
        <v>0.66</v>
      </c>
      <c r="O29">
        <v>0.91</v>
      </c>
      <c r="P29">
        <v>29.9</v>
      </c>
      <c r="Q29">
        <v>40.1</v>
      </c>
      <c r="R29">
        <v>53.6</v>
      </c>
      <c r="S29">
        <v>0.42</v>
      </c>
    </row>
    <row r="30" spans="1:19">
      <c r="A30" t="s">
        <v>338</v>
      </c>
      <c r="B30" s="1">
        <v>39508</v>
      </c>
      <c r="C30">
        <f t="shared" si="0"/>
        <v>-45.96</v>
      </c>
      <c r="D30">
        <f t="shared" si="1"/>
        <v>5.89</v>
      </c>
      <c r="E30">
        <v>81</v>
      </c>
      <c r="F30">
        <v>30.3</v>
      </c>
      <c r="G30">
        <f t="shared" si="3"/>
        <v>1.4875000000000001E-3</v>
      </c>
      <c r="H30">
        <f t="shared" si="4"/>
        <v>6.3750000000000005E-4</v>
      </c>
      <c r="I30">
        <f t="shared" si="5"/>
        <v>1.9E-3</v>
      </c>
      <c r="J30">
        <v>0.4</v>
      </c>
      <c r="K30">
        <v>6.63</v>
      </c>
      <c r="L30">
        <v>0.75</v>
      </c>
      <c r="M30">
        <v>18.440000000000001</v>
      </c>
      <c r="N30">
        <v>0.68</v>
      </c>
      <c r="O30">
        <v>1.03</v>
      </c>
      <c r="P30">
        <v>35.700000000000003</v>
      </c>
      <c r="Q30">
        <v>15.3</v>
      </c>
      <c r="R30">
        <v>45.6</v>
      </c>
      <c r="S30">
        <v>0.47</v>
      </c>
    </row>
    <row r="31" spans="1:19">
      <c r="A31" t="s">
        <v>338</v>
      </c>
      <c r="B31" s="1">
        <v>39508</v>
      </c>
      <c r="C31">
        <f t="shared" si="0"/>
        <v>-45.96</v>
      </c>
      <c r="D31">
        <f t="shared" si="1"/>
        <v>5.89</v>
      </c>
      <c r="E31">
        <v>81</v>
      </c>
      <c r="F31">
        <v>48.9</v>
      </c>
      <c r="G31">
        <f t="shared" si="3"/>
        <v>1.1125E-3</v>
      </c>
      <c r="H31">
        <f t="shared" si="4"/>
        <v>3.3333333333333332E-4</v>
      </c>
      <c r="I31">
        <f t="shared" si="5"/>
        <v>1.7916666666666665E-3</v>
      </c>
      <c r="J31">
        <v>0.4</v>
      </c>
      <c r="K31">
        <v>6.04</v>
      </c>
      <c r="L31">
        <v>0.78</v>
      </c>
      <c r="M31">
        <v>18.920000000000002</v>
      </c>
      <c r="N31">
        <v>0.69</v>
      </c>
      <c r="O31">
        <v>1.94</v>
      </c>
      <c r="P31">
        <v>26.7</v>
      </c>
      <c r="Q31">
        <v>8</v>
      </c>
      <c r="R31">
        <v>43</v>
      </c>
      <c r="S31">
        <v>0.55000000000000004</v>
      </c>
    </row>
    <row r="32" spans="1:19">
      <c r="A32" t="s">
        <v>339</v>
      </c>
      <c r="B32" s="1">
        <v>39508</v>
      </c>
      <c r="C32">
        <f t="shared" si="0"/>
        <v>-47.51</v>
      </c>
      <c r="D32">
        <f t="shared" si="1"/>
        <v>4.42</v>
      </c>
      <c r="E32">
        <v>84</v>
      </c>
      <c r="F32">
        <v>1</v>
      </c>
      <c r="G32">
        <f t="shared" si="3"/>
        <v>1.6500000000000002E-3</v>
      </c>
      <c r="H32">
        <f t="shared" si="4"/>
        <v>5.4166666666666664E-4</v>
      </c>
      <c r="I32">
        <f t="shared" si="5"/>
        <v>5.1999999999999998E-3</v>
      </c>
      <c r="J32">
        <v>0.36</v>
      </c>
      <c r="K32">
        <v>6.04</v>
      </c>
      <c r="L32">
        <v>0.84</v>
      </c>
      <c r="M32">
        <v>21.12</v>
      </c>
      <c r="N32">
        <v>0.6</v>
      </c>
      <c r="O32">
        <v>0.24</v>
      </c>
      <c r="P32">
        <v>39.6</v>
      </c>
      <c r="Q32">
        <v>13</v>
      </c>
      <c r="R32">
        <v>124.8</v>
      </c>
      <c r="S32">
        <v>0.7</v>
      </c>
    </row>
    <row r="33" spans="1:19">
      <c r="A33" t="s">
        <v>339</v>
      </c>
      <c r="B33" s="1">
        <v>39508</v>
      </c>
      <c r="C33">
        <f t="shared" si="0"/>
        <v>-47.51</v>
      </c>
      <c r="D33">
        <f t="shared" si="1"/>
        <v>4.42</v>
      </c>
      <c r="E33">
        <v>84</v>
      </c>
      <c r="F33">
        <v>5</v>
      </c>
      <c r="G33">
        <f t="shared" si="3"/>
        <v>1.0250000000000001E-3</v>
      </c>
      <c r="H33">
        <f t="shared" si="4"/>
        <v>7.0416666666666663E-4</v>
      </c>
      <c r="I33">
        <f t="shared" si="5"/>
        <v>2.9999999999999996E-3</v>
      </c>
      <c r="J33">
        <v>0.36</v>
      </c>
      <c r="K33">
        <v>6.04</v>
      </c>
      <c r="L33">
        <v>0.86</v>
      </c>
      <c r="M33">
        <v>21.12</v>
      </c>
      <c r="N33">
        <v>0.6</v>
      </c>
      <c r="O33">
        <v>0.85</v>
      </c>
      <c r="P33">
        <v>24.6</v>
      </c>
      <c r="Q33">
        <v>16.899999999999999</v>
      </c>
      <c r="R33">
        <v>72</v>
      </c>
      <c r="S33">
        <v>0.63</v>
      </c>
    </row>
    <row r="34" spans="1:19">
      <c r="A34" t="s">
        <v>339</v>
      </c>
      <c r="B34" s="1">
        <v>39508</v>
      </c>
      <c r="C34">
        <f t="shared" ref="C34:C61" si="6">VLOOKUP($A34,$U$2:$W$13,2,FALSE)</f>
        <v>-47.51</v>
      </c>
      <c r="D34">
        <f t="shared" ref="D34:D61" si="7">VLOOKUP($A34,$U$2:$W$13,3,FALSE)</f>
        <v>4.42</v>
      </c>
      <c r="E34">
        <v>84</v>
      </c>
      <c r="F34">
        <v>9.5</v>
      </c>
      <c r="G34">
        <f t="shared" si="3"/>
        <v>8.7500000000000002E-4</v>
      </c>
      <c r="H34">
        <f t="shared" si="4"/>
        <v>5.8333333333333338E-4</v>
      </c>
      <c r="I34">
        <f t="shared" si="5"/>
        <v>1.6750000000000001E-3</v>
      </c>
      <c r="J34">
        <v>0.36</v>
      </c>
      <c r="K34">
        <v>5.89</v>
      </c>
      <c r="L34">
        <v>0.88</v>
      </c>
      <c r="M34">
        <v>20.88</v>
      </c>
      <c r="N34">
        <v>0.6</v>
      </c>
      <c r="O34">
        <v>0.85</v>
      </c>
      <c r="P34">
        <v>21</v>
      </c>
      <c r="Q34">
        <v>14</v>
      </c>
      <c r="R34">
        <v>40.200000000000003</v>
      </c>
      <c r="S34">
        <v>0.53</v>
      </c>
    </row>
    <row r="35" spans="1:19">
      <c r="A35" t="s">
        <v>339</v>
      </c>
      <c r="B35" s="1">
        <v>39508</v>
      </c>
      <c r="C35">
        <f t="shared" si="6"/>
        <v>-47.51</v>
      </c>
      <c r="D35">
        <f t="shared" si="7"/>
        <v>4.42</v>
      </c>
      <c r="E35">
        <v>84</v>
      </c>
      <c r="F35">
        <v>19.7</v>
      </c>
      <c r="G35">
        <f t="shared" si="3"/>
        <v>2.0083333333333333E-3</v>
      </c>
      <c r="H35">
        <f t="shared" si="4"/>
        <v>4.45E-3</v>
      </c>
      <c r="I35">
        <f t="shared" si="5"/>
        <v>1.1666666666666668E-3</v>
      </c>
      <c r="J35">
        <v>0.36</v>
      </c>
      <c r="K35">
        <v>5.59</v>
      </c>
      <c r="L35">
        <v>0.91</v>
      </c>
      <c r="M35">
        <v>21.12</v>
      </c>
      <c r="N35">
        <v>0.6</v>
      </c>
      <c r="O35">
        <v>1.59</v>
      </c>
      <c r="P35">
        <v>48.2</v>
      </c>
      <c r="Q35">
        <v>106.8</v>
      </c>
      <c r="R35">
        <v>28</v>
      </c>
      <c r="S35">
        <v>0.16</v>
      </c>
    </row>
    <row r="36" spans="1:19">
      <c r="A36" t="s">
        <v>339</v>
      </c>
      <c r="B36" s="1">
        <v>39508</v>
      </c>
      <c r="C36">
        <f t="shared" si="6"/>
        <v>-47.51</v>
      </c>
      <c r="D36">
        <f t="shared" si="7"/>
        <v>4.42</v>
      </c>
      <c r="E36">
        <v>84</v>
      </c>
      <c r="F36">
        <v>60.1</v>
      </c>
      <c r="G36">
        <f t="shared" si="3"/>
        <v>3.5000000000000005E-4</v>
      </c>
      <c r="H36">
        <f t="shared" si="4"/>
        <v>4.5208333333333333E-3</v>
      </c>
      <c r="I36">
        <f t="shared" si="5"/>
        <v>9.2500000000000004E-4</v>
      </c>
      <c r="J36">
        <v>0.36</v>
      </c>
      <c r="K36">
        <v>5.56</v>
      </c>
      <c r="L36">
        <v>0.8</v>
      </c>
      <c r="M36">
        <v>20.88</v>
      </c>
      <c r="N36">
        <v>0.62</v>
      </c>
      <c r="O36">
        <v>1.27</v>
      </c>
      <c r="P36">
        <v>8.4</v>
      </c>
      <c r="Q36">
        <v>108.5</v>
      </c>
      <c r="R36">
        <v>22.2</v>
      </c>
      <c r="S36">
        <v>0.16</v>
      </c>
    </row>
    <row r="37" spans="1:19">
      <c r="A37" t="s">
        <v>352</v>
      </c>
      <c r="B37" s="1">
        <v>39508</v>
      </c>
      <c r="C37">
        <f t="shared" si="6"/>
        <v>-49</v>
      </c>
      <c r="D37">
        <f t="shared" si="7"/>
        <v>2.76</v>
      </c>
      <c r="E37">
        <v>97</v>
      </c>
      <c r="F37">
        <v>1</v>
      </c>
      <c r="G37">
        <f t="shared" si="3"/>
        <v>3.4166666666666661E-4</v>
      </c>
      <c r="H37">
        <f t="shared" si="4"/>
        <v>2.3333333333333333E-4</v>
      </c>
      <c r="I37">
        <f t="shared" si="5"/>
        <v>1.5458333333333333E-3</v>
      </c>
      <c r="J37">
        <v>0.26</v>
      </c>
      <c r="K37">
        <v>5.17</v>
      </c>
      <c r="L37">
        <v>0.47</v>
      </c>
      <c r="M37">
        <v>20.93</v>
      </c>
      <c r="N37">
        <v>0.73</v>
      </c>
      <c r="O37">
        <v>0.39</v>
      </c>
      <c r="P37">
        <v>8.1999999999999993</v>
      </c>
      <c r="Q37">
        <v>5.6</v>
      </c>
      <c r="R37">
        <v>37.1</v>
      </c>
      <c r="S37">
        <v>0.73</v>
      </c>
    </row>
    <row r="38" spans="1:19">
      <c r="A38" t="s">
        <v>352</v>
      </c>
      <c r="B38" s="1">
        <v>39508</v>
      </c>
      <c r="C38">
        <f t="shared" si="6"/>
        <v>-49</v>
      </c>
      <c r="D38">
        <f t="shared" si="7"/>
        <v>2.76</v>
      </c>
      <c r="E38">
        <v>97</v>
      </c>
      <c r="F38">
        <v>3.9</v>
      </c>
      <c r="G38">
        <f t="shared" si="3"/>
        <v>4.0833333333333341E-4</v>
      </c>
      <c r="H38">
        <f t="shared" si="4"/>
        <v>1.25E-4</v>
      </c>
      <c r="I38">
        <f t="shared" si="5"/>
        <v>1.6500000000000002E-3</v>
      </c>
      <c r="J38">
        <v>0.26</v>
      </c>
      <c r="K38">
        <v>5.17</v>
      </c>
      <c r="L38">
        <v>0.47</v>
      </c>
      <c r="M38">
        <v>20.93</v>
      </c>
      <c r="N38">
        <v>0.73</v>
      </c>
      <c r="O38">
        <v>0.42</v>
      </c>
      <c r="P38">
        <v>9.8000000000000007</v>
      </c>
      <c r="Q38">
        <v>3</v>
      </c>
      <c r="R38">
        <v>39.6</v>
      </c>
      <c r="S38">
        <v>0.63</v>
      </c>
    </row>
    <row r="39" spans="1:19">
      <c r="A39" t="s">
        <v>352</v>
      </c>
      <c r="B39" s="1">
        <v>39508</v>
      </c>
      <c r="C39">
        <f t="shared" si="6"/>
        <v>-49</v>
      </c>
      <c r="D39">
        <f t="shared" si="7"/>
        <v>2.76</v>
      </c>
      <c r="E39">
        <v>97</v>
      </c>
      <c r="F39">
        <v>10.1</v>
      </c>
      <c r="G39">
        <f t="shared" si="3"/>
        <v>5.9999999999999995E-4</v>
      </c>
      <c r="H39">
        <f t="shared" si="4"/>
        <v>5.6249999999999996E-4</v>
      </c>
      <c r="I39">
        <f t="shared" si="5"/>
        <v>8.7500000000000002E-4</v>
      </c>
      <c r="J39">
        <v>0.28000000000000003</v>
      </c>
      <c r="K39">
        <v>5.49</v>
      </c>
      <c r="L39">
        <v>0.53</v>
      </c>
      <c r="M39">
        <v>20.93</v>
      </c>
      <c r="N39">
        <v>0.73</v>
      </c>
      <c r="O39">
        <v>2.06</v>
      </c>
      <c r="P39">
        <v>14.4</v>
      </c>
      <c r="Q39">
        <v>13.5</v>
      </c>
      <c r="R39">
        <v>21</v>
      </c>
      <c r="S39">
        <v>0.43</v>
      </c>
    </row>
    <row r="40" spans="1:19">
      <c r="A40" t="s">
        <v>352</v>
      </c>
      <c r="B40" s="1">
        <v>39508</v>
      </c>
      <c r="C40">
        <f t="shared" si="6"/>
        <v>-49</v>
      </c>
      <c r="D40">
        <f t="shared" si="7"/>
        <v>2.76</v>
      </c>
      <c r="E40">
        <v>97</v>
      </c>
      <c r="F40">
        <v>13.9</v>
      </c>
      <c r="G40">
        <f t="shared" si="3"/>
        <v>7.8333333333333336E-4</v>
      </c>
      <c r="H40">
        <f t="shared" si="4"/>
        <v>6.3750000000000005E-4</v>
      </c>
      <c r="I40">
        <f t="shared" si="5"/>
        <v>1.6291666666666668E-3</v>
      </c>
      <c r="J40">
        <v>0.28000000000000003</v>
      </c>
      <c r="K40">
        <v>5.19</v>
      </c>
      <c r="L40">
        <v>0.47</v>
      </c>
      <c r="M40">
        <v>20.93</v>
      </c>
      <c r="N40">
        <v>0.73</v>
      </c>
      <c r="O40">
        <v>1.42</v>
      </c>
      <c r="P40">
        <v>18.8</v>
      </c>
      <c r="Q40">
        <v>15.3</v>
      </c>
      <c r="R40">
        <v>39.1</v>
      </c>
      <c r="S40">
        <v>0.53</v>
      </c>
    </row>
    <row r="41" spans="1:19">
      <c r="A41" t="s">
        <v>352</v>
      </c>
      <c r="B41" s="1">
        <v>39508</v>
      </c>
      <c r="C41">
        <f t="shared" si="6"/>
        <v>-49</v>
      </c>
      <c r="D41">
        <f t="shared" si="7"/>
        <v>2.76</v>
      </c>
      <c r="E41">
        <v>97</v>
      </c>
      <c r="F41">
        <v>60.4</v>
      </c>
      <c r="G41">
        <f t="shared" si="3"/>
        <v>6.3750000000000005E-4</v>
      </c>
      <c r="H41">
        <f t="shared" si="4"/>
        <v>4.3750000000000001E-4</v>
      </c>
      <c r="I41">
        <f t="shared" si="5"/>
        <v>6.4583333333333333E-4</v>
      </c>
      <c r="J41">
        <v>0.25</v>
      </c>
      <c r="K41">
        <v>5.16</v>
      </c>
      <c r="L41">
        <v>0.6</v>
      </c>
      <c r="M41">
        <v>20.93</v>
      </c>
      <c r="N41">
        <v>0.73</v>
      </c>
      <c r="O41">
        <v>0.77</v>
      </c>
      <c r="P41">
        <v>15.3</v>
      </c>
      <c r="Q41">
        <v>10.5</v>
      </c>
      <c r="R41">
        <v>15.5</v>
      </c>
      <c r="S41">
        <v>0.38</v>
      </c>
    </row>
    <row r="42" spans="1:19">
      <c r="A42" t="s">
        <v>340</v>
      </c>
      <c r="B42" s="1">
        <v>39508</v>
      </c>
      <c r="C42">
        <f t="shared" si="6"/>
        <v>-50.26</v>
      </c>
      <c r="D42">
        <f t="shared" si="7"/>
        <v>1.23</v>
      </c>
      <c r="E42">
        <v>78</v>
      </c>
      <c r="F42">
        <v>1</v>
      </c>
      <c r="G42">
        <f t="shared" si="3"/>
        <v>1.7916666666666667E-4</v>
      </c>
      <c r="H42" t="e">
        <f t="shared" si="4"/>
        <v>#VALUE!</v>
      </c>
      <c r="I42">
        <f t="shared" si="5"/>
        <v>6.0833333333333334E-4</v>
      </c>
      <c r="J42">
        <v>0.31</v>
      </c>
      <c r="K42">
        <v>5.37</v>
      </c>
      <c r="L42">
        <v>0.54</v>
      </c>
      <c r="M42">
        <v>22.8</v>
      </c>
      <c r="N42">
        <v>1.26</v>
      </c>
      <c r="O42" t="s">
        <v>7</v>
      </c>
      <c r="P42">
        <v>4.3</v>
      </c>
      <c r="Q42" t="s">
        <v>7</v>
      </c>
      <c r="R42">
        <v>14.6</v>
      </c>
      <c r="S42">
        <v>0.77</v>
      </c>
    </row>
    <row r="43" spans="1:19">
      <c r="A43" t="s">
        <v>340</v>
      </c>
      <c r="B43" s="1">
        <v>39508</v>
      </c>
      <c r="C43">
        <f t="shared" si="6"/>
        <v>-50.26</v>
      </c>
      <c r="D43">
        <f t="shared" si="7"/>
        <v>1.23</v>
      </c>
      <c r="E43">
        <v>78</v>
      </c>
      <c r="F43">
        <v>5.7</v>
      </c>
      <c r="G43">
        <f t="shared" si="3"/>
        <v>2.5833333333333334E-4</v>
      </c>
      <c r="H43">
        <f t="shared" si="4"/>
        <v>8.3750000000000003E-4</v>
      </c>
      <c r="I43">
        <f t="shared" si="5"/>
        <v>7.5416666666666677E-4</v>
      </c>
      <c r="J43">
        <v>0.31</v>
      </c>
      <c r="K43">
        <v>5.37</v>
      </c>
      <c r="L43">
        <v>0.54</v>
      </c>
      <c r="M43">
        <v>22.8</v>
      </c>
      <c r="N43">
        <v>1.26</v>
      </c>
      <c r="O43">
        <v>1.58</v>
      </c>
      <c r="P43">
        <v>6.2</v>
      </c>
      <c r="Q43">
        <v>20.100000000000001</v>
      </c>
      <c r="R43">
        <v>18.100000000000001</v>
      </c>
      <c r="S43">
        <v>0.41</v>
      </c>
    </row>
    <row r="44" spans="1:19">
      <c r="A44" t="s">
        <v>340</v>
      </c>
      <c r="B44" s="1">
        <v>39508</v>
      </c>
      <c r="C44">
        <f t="shared" si="6"/>
        <v>-50.26</v>
      </c>
      <c r="D44">
        <f t="shared" si="7"/>
        <v>1.23</v>
      </c>
      <c r="E44">
        <v>78</v>
      </c>
      <c r="F44">
        <v>9.4</v>
      </c>
      <c r="G44">
        <f t="shared" si="3"/>
        <v>3.0833333333333337E-4</v>
      </c>
      <c r="H44">
        <f t="shared" si="4"/>
        <v>1.1791666666666667E-3</v>
      </c>
      <c r="I44">
        <f t="shared" si="5"/>
        <v>9.5416666666666664E-4</v>
      </c>
      <c r="J44">
        <v>0.3</v>
      </c>
      <c r="K44">
        <v>9.0399999999999991</v>
      </c>
      <c r="L44">
        <v>0.74</v>
      </c>
      <c r="M44">
        <v>22.8</v>
      </c>
      <c r="N44">
        <v>1.26</v>
      </c>
      <c r="O44">
        <v>1.33</v>
      </c>
      <c r="P44">
        <v>7.4</v>
      </c>
      <c r="Q44">
        <v>28.3</v>
      </c>
      <c r="R44">
        <v>22.9</v>
      </c>
      <c r="S44">
        <v>0.39</v>
      </c>
    </row>
    <row r="45" spans="1:19">
      <c r="A45" t="s">
        <v>340</v>
      </c>
      <c r="B45" s="1">
        <v>39508</v>
      </c>
      <c r="C45">
        <f t="shared" si="6"/>
        <v>-50.26</v>
      </c>
      <c r="D45">
        <f t="shared" si="7"/>
        <v>1.23</v>
      </c>
      <c r="E45">
        <v>78</v>
      </c>
      <c r="F45">
        <v>48.6</v>
      </c>
      <c r="G45">
        <f t="shared" si="3"/>
        <v>4.7916666666666664E-4</v>
      </c>
      <c r="H45">
        <f t="shared" si="4"/>
        <v>2.0166666666666666E-3</v>
      </c>
      <c r="I45">
        <f t="shared" si="5"/>
        <v>9.7083333333333342E-4</v>
      </c>
      <c r="J45">
        <v>0.3</v>
      </c>
      <c r="K45">
        <v>5.23</v>
      </c>
      <c r="L45">
        <v>0.47</v>
      </c>
      <c r="M45">
        <v>24.51</v>
      </c>
      <c r="N45">
        <v>1.89</v>
      </c>
      <c r="O45">
        <v>1.03</v>
      </c>
      <c r="P45">
        <v>11.5</v>
      </c>
      <c r="Q45">
        <v>48.4</v>
      </c>
      <c r="R45">
        <v>23.3</v>
      </c>
      <c r="S45">
        <v>0.28000000000000003</v>
      </c>
    </row>
    <row r="46" spans="1:19">
      <c r="A46" t="s">
        <v>340</v>
      </c>
      <c r="B46" s="1">
        <v>39508</v>
      </c>
      <c r="C46">
        <f t="shared" si="6"/>
        <v>-50.26</v>
      </c>
      <c r="D46">
        <f t="shared" si="7"/>
        <v>1.23</v>
      </c>
      <c r="E46">
        <v>78</v>
      </c>
      <c r="F46">
        <v>78.5</v>
      </c>
      <c r="G46">
        <f t="shared" si="3"/>
        <v>2.2916666666666666E-4</v>
      </c>
      <c r="H46">
        <f t="shared" si="4"/>
        <v>5.5416666666666667E-4</v>
      </c>
      <c r="I46">
        <f t="shared" si="5"/>
        <v>5.666666666666666E-4</v>
      </c>
      <c r="J46">
        <v>0.3</v>
      </c>
      <c r="K46">
        <v>3.43</v>
      </c>
      <c r="L46">
        <v>0.31</v>
      </c>
      <c r="M46">
        <v>24.51</v>
      </c>
      <c r="N46">
        <v>1.89</v>
      </c>
      <c r="O46">
        <v>1.33</v>
      </c>
      <c r="P46">
        <v>5.5</v>
      </c>
      <c r="Q46">
        <v>13.3</v>
      </c>
      <c r="R46">
        <v>13.6</v>
      </c>
      <c r="S46">
        <v>0.42</v>
      </c>
    </row>
    <row r="47" spans="1:19">
      <c r="A47" t="s">
        <v>353</v>
      </c>
      <c r="B47" s="1">
        <v>39508</v>
      </c>
      <c r="C47">
        <f t="shared" si="6"/>
        <v>-51.74</v>
      </c>
      <c r="D47">
        <f t="shared" si="7"/>
        <v>-0.05</v>
      </c>
      <c r="E47">
        <v>107</v>
      </c>
      <c r="F47">
        <v>1</v>
      </c>
      <c r="G47">
        <f t="shared" si="3"/>
        <v>4.5833333333333332E-4</v>
      </c>
      <c r="H47">
        <f t="shared" si="4"/>
        <v>1.0291666666666667E-3</v>
      </c>
      <c r="I47" t="e">
        <f t="shared" si="5"/>
        <v>#VALUE!</v>
      </c>
      <c r="J47">
        <v>0.16</v>
      </c>
      <c r="K47">
        <v>2.67</v>
      </c>
      <c r="L47">
        <v>0.5</v>
      </c>
      <c r="M47" t="s">
        <v>7</v>
      </c>
      <c r="N47">
        <v>0.8</v>
      </c>
      <c r="O47">
        <v>2</v>
      </c>
      <c r="P47">
        <v>11</v>
      </c>
      <c r="Q47">
        <v>24.7</v>
      </c>
      <c r="R47" t="s">
        <v>7</v>
      </c>
      <c r="S47" t="s">
        <v>7</v>
      </c>
    </row>
    <row r="48" spans="1:19">
      <c r="A48" t="s">
        <v>353</v>
      </c>
      <c r="B48" s="1">
        <v>39508</v>
      </c>
      <c r="C48">
        <f t="shared" si="6"/>
        <v>-51.74</v>
      </c>
      <c r="D48">
        <f t="shared" si="7"/>
        <v>-0.05</v>
      </c>
      <c r="E48">
        <v>107</v>
      </c>
      <c r="F48">
        <v>1.9</v>
      </c>
      <c r="G48">
        <f t="shared" si="3"/>
        <v>4.5833333333333332E-4</v>
      </c>
      <c r="H48">
        <f t="shared" si="4"/>
        <v>7.0416666666666663E-4</v>
      </c>
      <c r="I48">
        <f t="shared" si="5"/>
        <v>1.1791666666666667E-3</v>
      </c>
      <c r="J48">
        <v>0.16</v>
      </c>
      <c r="K48">
        <v>2.67</v>
      </c>
      <c r="L48">
        <v>0.5</v>
      </c>
      <c r="M48">
        <v>25.71</v>
      </c>
      <c r="N48">
        <v>0.8</v>
      </c>
      <c r="O48">
        <v>2</v>
      </c>
      <c r="P48">
        <v>11</v>
      </c>
      <c r="Q48">
        <v>16.899999999999999</v>
      </c>
      <c r="R48">
        <v>28.3</v>
      </c>
      <c r="S48">
        <v>0.5</v>
      </c>
    </row>
    <row r="49" spans="1:19">
      <c r="A49" t="s">
        <v>353</v>
      </c>
      <c r="B49" s="1">
        <v>39508</v>
      </c>
      <c r="C49">
        <f t="shared" si="6"/>
        <v>-51.74</v>
      </c>
      <c r="D49">
        <f t="shared" si="7"/>
        <v>-0.05</v>
      </c>
      <c r="E49">
        <v>107</v>
      </c>
      <c r="F49">
        <v>13.2</v>
      </c>
      <c r="G49">
        <f t="shared" si="3"/>
        <v>3.9583333333333332E-4</v>
      </c>
      <c r="H49">
        <f t="shared" si="4"/>
        <v>6.8750000000000007E-4</v>
      </c>
      <c r="I49">
        <f t="shared" si="5"/>
        <v>8.7083333333333327E-4</v>
      </c>
      <c r="J49">
        <v>0.17</v>
      </c>
      <c r="K49">
        <v>2.72</v>
      </c>
      <c r="L49">
        <v>0.5</v>
      </c>
      <c r="M49">
        <v>25.71</v>
      </c>
      <c r="N49">
        <v>0.79</v>
      </c>
      <c r="O49">
        <v>2.19</v>
      </c>
      <c r="P49">
        <v>9.5</v>
      </c>
      <c r="Q49">
        <v>16.5</v>
      </c>
      <c r="R49">
        <v>20.9</v>
      </c>
      <c r="S49">
        <v>0.5</v>
      </c>
    </row>
    <row r="50" spans="1:19">
      <c r="A50" t="s">
        <v>353</v>
      </c>
      <c r="B50" s="1">
        <v>39508</v>
      </c>
      <c r="C50">
        <f t="shared" si="6"/>
        <v>-51.74</v>
      </c>
      <c r="D50">
        <f t="shared" si="7"/>
        <v>-0.05</v>
      </c>
      <c r="E50">
        <v>107</v>
      </c>
      <c r="F50">
        <v>23.6</v>
      </c>
      <c r="G50">
        <f t="shared" si="3"/>
        <v>3.8333333333333334E-4</v>
      </c>
      <c r="H50">
        <f t="shared" si="4"/>
        <v>7.000000000000001E-4</v>
      </c>
      <c r="I50">
        <f t="shared" si="5"/>
        <v>8.2083333333333325E-4</v>
      </c>
      <c r="J50">
        <v>0.16</v>
      </c>
      <c r="K50">
        <v>2.98</v>
      </c>
      <c r="L50">
        <v>0.5</v>
      </c>
      <c r="M50">
        <v>25.71</v>
      </c>
      <c r="N50">
        <v>0.8</v>
      </c>
      <c r="O50">
        <v>1.62</v>
      </c>
      <c r="P50">
        <v>9.1999999999999993</v>
      </c>
      <c r="Q50">
        <v>16.8</v>
      </c>
      <c r="R50">
        <v>19.7</v>
      </c>
      <c r="S50">
        <v>0.43</v>
      </c>
    </row>
    <row r="51" spans="1:19">
      <c r="A51" t="s">
        <v>353</v>
      </c>
      <c r="B51" s="1">
        <v>39508</v>
      </c>
      <c r="C51">
        <f t="shared" si="6"/>
        <v>-51.74</v>
      </c>
      <c r="D51">
        <f t="shared" si="7"/>
        <v>-0.05</v>
      </c>
      <c r="E51">
        <v>107</v>
      </c>
      <c r="F51">
        <v>88.3</v>
      </c>
      <c r="G51">
        <f t="shared" si="3"/>
        <v>2.9583333333333333E-4</v>
      </c>
      <c r="H51">
        <f t="shared" si="4"/>
        <v>3.6249999999999998E-4</v>
      </c>
      <c r="I51">
        <f t="shared" si="5"/>
        <v>4.5000000000000004E-4</v>
      </c>
      <c r="J51">
        <v>0.16</v>
      </c>
      <c r="K51">
        <v>2.6</v>
      </c>
      <c r="L51">
        <v>0.4</v>
      </c>
      <c r="M51">
        <v>25.96</v>
      </c>
      <c r="N51">
        <v>0.79</v>
      </c>
      <c r="O51">
        <v>1.43</v>
      </c>
      <c r="P51">
        <v>7.1</v>
      </c>
      <c r="Q51">
        <v>8.6999999999999993</v>
      </c>
      <c r="R51">
        <v>10.8</v>
      </c>
      <c r="S51">
        <v>0.41</v>
      </c>
    </row>
    <row r="52" spans="1:19">
      <c r="A52" t="s">
        <v>341</v>
      </c>
      <c r="B52" s="1">
        <v>39508</v>
      </c>
      <c r="C52">
        <f t="shared" si="6"/>
        <v>-55.53</v>
      </c>
      <c r="D52">
        <f t="shared" si="7"/>
        <v>-0.05</v>
      </c>
      <c r="E52">
        <v>69</v>
      </c>
      <c r="F52">
        <v>1</v>
      </c>
      <c r="G52">
        <f t="shared" si="3"/>
        <v>5.9999999999999995E-4</v>
      </c>
      <c r="H52">
        <f t="shared" si="4"/>
        <v>4.5833333333333332E-4</v>
      </c>
      <c r="I52">
        <f t="shared" si="5"/>
        <v>1.2416666666666667E-3</v>
      </c>
      <c r="J52">
        <v>0.25</v>
      </c>
      <c r="K52">
        <v>5.17</v>
      </c>
      <c r="L52">
        <v>0.54</v>
      </c>
      <c r="M52">
        <v>28.08</v>
      </c>
      <c r="N52">
        <v>0.46</v>
      </c>
      <c r="O52">
        <v>0.56999999999999995</v>
      </c>
      <c r="P52">
        <v>14.4</v>
      </c>
      <c r="Q52">
        <v>11</v>
      </c>
      <c r="R52">
        <v>29.8</v>
      </c>
      <c r="S52">
        <v>0.52</v>
      </c>
    </row>
    <row r="53" spans="1:19">
      <c r="A53" t="s">
        <v>341</v>
      </c>
      <c r="B53" s="1">
        <v>39508</v>
      </c>
      <c r="C53">
        <f t="shared" si="6"/>
        <v>-55.53</v>
      </c>
      <c r="D53">
        <f t="shared" si="7"/>
        <v>-0.05</v>
      </c>
      <c r="E53">
        <v>69</v>
      </c>
      <c r="F53">
        <v>5.3</v>
      </c>
      <c r="G53">
        <f t="shared" si="3"/>
        <v>5.4166666666666664E-4</v>
      </c>
      <c r="H53">
        <f t="shared" si="4"/>
        <v>3.3333333333333332E-4</v>
      </c>
      <c r="I53">
        <f t="shared" si="5"/>
        <v>2.1291666666666668E-3</v>
      </c>
      <c r="J53">
        <v>0.25</v>
      </c>
      <c r="K53">
        <v>9.0399999999999991</v>
      </c>
      <c r="L53">
        <v>0.74</v>
      </c>
      <c r="M53">
        <v>28.08</v>
      </c>
      <c r="N53">
        <v>0.46</v>
      </c>
      <c r="O53">
        <v>1.41</v>
      </c>
      <c r="P53">
        <v>13</v>
      </c>
      <c r="Q53">
        <v>8</v>
      </c>
      <c r="R53">
        <v>51.1</v>
      </c>
      <c r="S53">
        <v>0.71</v>
      </c>
    </row>
    <row r="54" spans="1:19">
      <c r="A54" t="s">
        <v>341</v>
      </c>
      <c r="B54" s="1">
        <v>39508</v>
      </c>
      <c r="C54">
        <f t="shared" si="6"/>
        <v>-55.53</v>
      </c>
      <c r="D54">
        <f t="shared" si="7"/>
        <v>-0.05</v>
      </c>
      <c r="E54">
        <v>69</v>
      </c>
      <c r="F54">
        <v>13.5</v>
      </c>
      <c r="G54">
        <f t="shared" si="3"/>
        <v>6.2500000000000001E-4</v>
      </c>
      <c r="H54">
        <f t="shared" si="4"/>
        <v>8.0833333333333321E-4</v>
      </c>
      <c r="I54">
        <f t="shared" si="5"/>
        <v>1.7625E-3</v>
      </c>
      <c r="J54">
        <v>0.24</v>
      </c>
      <c r="K54">
        <v>5.23</v>
      </c>
      <c r="L54">
        <v>0.47</v>
      </c>
      <c r="M54">
        <v>28.08</v>
      </c>
      <c r="N54">
        <v>0.43</v>
      </c>
      <c r="O54">
        <v>1.53</v>
      </c>
      <c r="P54">
        <v>15</v>
      </c>
      <c r="Q54">
        <v>19.399999999999999</v>
      </c>
      <c r="R54">
        <v>42.3</v>
      </c>
      <c r="S54">
        <v>0.55000000000000004</v>
      </c>
    </row>
    <row r="55" spans="1:19">
      <c r="A55" t="s">
        <v>341</v>
      </c>
      <c r="B55" s="1">
        <v>39508</v>
      </c>
      <c r="C55">
        <f t="shared" si="6"/>
        <v>-55.53</v>
      </c>
      <c r="D55">
        <f t="shared" si="7"/>
        <v>-0.05</v>
      </c>
      <c r="E55">
        <v>69</v>
      </c>
      <c r="F55">
        <v>25.3</v>
      </c>
      <c r="G55">
        <f t="shared" si="3"/>
        <v>3.1250000000000001E-4</v>
      </c>
      <c r="H55">
        <f t="shared" si="4"/>
        <v>1.7166666666666667E-3</v>
      </c>
      <c r="I55">
        <f t="shared" si="5"/>
        <v>2.3291666666666665E-3</v>
      </c>
      <c r="J55">
        <v>0.27</v>
      </c>
      <c r="K55">
        <v>5.39</v>
      </c>
      <c r="L55">
        <v>0.52</v>
      </c>
      <c r="M55">
        <v>29.76</v>
      </c>
      <c r="N55">
        <v>0.31</v>
      </c>
      <c r="O55">
        <v>1.94</v>
      </c>
      <c r="P55">
        <v>7.5</v>
      </c>
      <c r="Q55">
        <v>41.2</v>
      </c>
      <c r="R55">
        <v>55.9</v>
      </c>
      <c r="S55">
        <v>0.48</v>
      </c>
    </row>
    <row r="56" spans="1:19">
      <c r="A56" t="s">
        <v>341</v>
      </c>
      <c r="B56" s="1">
        <v>39508</v>
      </c>
      <c r="C56">
        <f t="shared" si="6"/>
        <v>-55.53</v>
      </c>
      <c r="D56">
        <f t="shared" si="7"/>
        <v>-0.05</v>
      </c>
      <c r="E56">
        <v>69</v>
      </c>
      <c r="F56">
        <v>109.9</v>
      </c>
      <c r="G56">
        <f t="shared" si="3"/>
        <v>5.9583333333333331E-4</v>
      </c>
      <c r="H56">
        <f t="shared" si="4"/>
        <v>7.6666666666666669E-4</v>
      </c>
      <c r="I56">
        <f t="shared" si="5"/>
        <v>1.475E-3</v>
      </c>
      <c r="J56">
        <v>0.28000000000000003</v>
      </c>
      <c r="K56">
        <v>2.0499999999999998</v>
      </c>
      <c r="L56">
        <v>0.19</v>
      </c>
      <c r="M56">
        <v>29.76</v>
      </c>
      <c r="N56">
        <v>0.31</v>
      </c>
      <c r="O56">
        <v>1.33</v>
      </c>
      <c r="P56">
        <v>14.3</v>
      </c>
      <c r="Q56">
        <v>18.399999999999999</v>
      </c>
      <c r="R56">
        <v>35.4</v>
      </c>
      <c r="S56">
        <v>0.57999999999999996</v>
      </c>
    </row>
    <row r="57" spans="1:19">
      <c r="A57" t="s">
        <v>342</v>
      </c>
      <c r="B57" s="1">
        <v>39508</v>
      </c>
      <c r="C57">
        <f t="shared" si="6"/>
        <v>-57.53</v>
      </c>
      <c r="D57">
        <f t="shared" si="7"/>
        <v>0.02</v>
      </c>
      <c r="E57">
        <v>90</v>
      </c>
      <c r="F57">
        <v>1</v>
      </c>
      <c r="G57">
        <f t="shared" si="3"/>
        <v>8.3333333333333339E-4</v>
      </c>
      <c r="H57">
        <f t="shared" si="4"/>
        <v>1.2208333333333333E-3</v>
      </c>
      <c r="I57">
        <f t="shared" si="5"/>
        <v>1.9791666666666668E-3</v>
      </c>
      <c r="J57">
        <v>0.33</v>
      </c>
      <c r="K57">
        <v>4.4800000000000004</v>
      </c>
      <c r="L57">
        <v>0.76</v>
      </c>
      <c r="M57">
        <v>27.81</v>
      </c>
      <c r="N57">
        <v>0.61</v>
      </c>
      <c r="O57">
        <v>1.68</v>
      </c>
      <c r="P57">
        <v>20</v>
      </c>
      <c r="Q57">
        <v>29.3</v>
      </c>
      <c r="R57">
        <v>47.5</v>
      </c>
      <c r="S57">
        <v>0.49</v>
      </c>
    </row>
    <row r="58" spans="1:19">
      <c r="A58" t="s">
        <v>342</v>
      </c>
      <c r="B58" s="1">
        <v>39508</v>
      </c>
      <c r="C58">
        <f t="shared" si="6"/>
        <v>-57.53</v>
      </c>
      <c r="D58">
        <f t="shared" si="7"/>
        <v>0.02</v>
      </c>
      <c r="E58">
        <v>90</v>
      </c>
      <c r="F58">
        <v>3.2</v>
      </c>
      <c r="G58">
        <f t="shared" si="3"/>
        <v>9.8333333333333345E-4</v>
      </c>
      <c r="H58">
        <f t="shared" si="4"/>
        <v>1.2208333333333333E-3</v>
      </c>
      <c r="I58">
        <f t="shared" si="5"/>
        <v>1.7166666666666667E-3</v>
      </c>
      <c r="J58">
        <v>0.33</v>
      </c>
      <c r="K58">
        <v>4.4800000000000004</v>
      </c>
      <c r="L58">
        <v>0.76</v>
      </c>
      <c r="M58">
        <v>27.81</v>
      </c>
      <c r="N58">
        <v>0.61</v>
      </c>
      <c r="O58">
        <v>1.59</v>
      </c>
      <c r="P58">
        <v>23.6</v>
      </c>
      <c r="Q58">
        <v>29.3</v>
      </c>
      <c r="R58">
        <v>41.2</v>
      </c>
      <c r="S58">
        <v>0.44</v>
      </c>
    </row>
    <row r="59" spans="1:19">
      <c r="A59" t="s">
        <v>342</v>
      </c>
      <c r="B59" s="1">
        <v>39508</v>
      </c>
      <c r="C59">
        <f t="shared" si="6"/>
        <v>-57.53</v>
      </c>
      <c r="D59">
        <f t="shared" si="7"/>
        <v>0.02</v>
      </c>
      <c r="E59">
        <v>90</v>
      </c>
      <c r="F59">
        <v>8.8000000000000007</v>
      </c>
      <c r="G59">
        <f t="shared" si="3"/>
        <v>1.1500000000000002E-3</v>
      </c>
      <c r="H59">
        <f t="shared" si="4"/>
        <v>1.3916666666666667E-3</v>
      </c>
      <c r="I59">
        <f t="shared" si="5"/>
        <v>1.8833333333333334E-3</v>
      </c>
      <c r="J59">
        <v>0.32</v>
      </c>
      <c r="K59">
        <v>4.63</v>
      </c>
      <c r="L59">
        <v>0.83</v>
      </c>
      <c r="M59">
        <v>27.81</v>
      </c>
      <c r="N59">
        <v>0.61</v>
      </c>
      <c r="O59">
        <v>2.06</v>
      </c>
      <c r="P59">
        <v>27.6</v>
      </c>
      <c r="Q59">
        <v>33.4</v>
      </c>
      <c r="R59">
        <v>45.2</v>
      </c>
      <c r="S59">
        <v>0.39</v>
      </c>
    </row>
    <row r="60" spans="1:19">
      <c r="A60" t="s">
        <v>342</v>
      </c>
      <c r="B60" s="1">
        <v>39508</v>
      </c>
      <c r="C60">
        <f t="shared" si="6"/>
        <v>-57.53</v>
      </c>
      <c r="D60">
        <f t="shared" si="7"/>
        <v>0.02</v>
      </c>
      <c r="E60">
        <v>90</v>
      </c>
      <c r="F60">
        <v>28.8</v>
      </c>
      <c r="G60">
        <f t="shared" si="3"/>
        <v>8.1249999999999996E-4</v>
      </c>
      <c r="H60">
        <f t="shared" si="4"/>
        <v>3.0416666666666665E-3</v>
      </c>
      <c r="I60">
        <f t="shared" si="5"/>
        <v>1.3874999999999998E-3</v>
      </c>
      <c r="J60">
        <v>0.3</v>
      </c>
      <c r="K60">
        <v>4.0599999999999996</v>
      </c>
      <c r="L60">
        <v>0.69</v>
      </c>
      <c r="M60">
        <v>28.06</v>
      </c>
      <c r="N60">
        <v>0.63</v>
      </c>
      <c r="O60">
        <v>3.1</v>
      </c>
      <c r="P60">
        <v>19.5</v>
      </c>
      <c r="Q60">
        <v>73</v>
      </c>
      <c r="R60">
        <v>33.299999999999997</v>
      </c>
      <c r="S60">
        <v>0.26</v>
      </c>
    </row>
    <row r="61" spans="1:19">
      <c r="A61" t="s">
        <v>342</v>
      </c>
      <c r="B61" s="1">
        <v>39508</v>
      </c>
      <c r="C61">
        <f t="shared" si="6"/>
        <v>-57.53</v>
      </c>
      <c r="D61">
        <f t="shared" si="7"/>
        <v>0.02</v>
      </c>
      <c r="E61">
        <v>90</v>
      </c>
      <c r="F61">
        <v>90</v>
      </c>
      <c r="G61">
        <f t="shared" si="3"/>
        <v>9.5E-4</v>
      </c>
      <c r="H61">
        <f t="shared" si="4"/>
        <v>8.7916666666666666E-4</v>
      </c>
      <c r="I61">
        <f t="shared" si="5"/>
        <v>1.5041666666666667E-3</v>
      </c>
      <c r="J61">
        <v>0.21</v>
      </c>
      <c r="K61">
        <v>3.55</v>
      </c>
      <c r="L61">
        <v>0.68</v>
      </c>
      <c r="M61">
        <v>28.06</v>
      </c>
      <c r="N61">
        <v>0.62</v>
      </c>
      <c r="O61">
        <v>1.1599999999999999</v>
      </c>
      <c r="P61">
        <v>22.8</v>
      </c>
      <c r="Q61">
        <v>21.1</v>
      </c>
      <c r="R61">
        <v>36.1</v>
      </c>
      <c r="S61">
        <v>0.45</v>
      </c>
    </row>
  </sheetData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CD33-62B2-C74E-BBFB-3E58F58F51A7}">
  <dimension ref="A1:R36"/>
  <sheetViews>
    <sheetView workbookViewId="0">
      <selection activeCell="G1" sqref="G1:I1"/>
    </sheetView>
  </sheetViews>
  <sheetFormatPr baseColWidth="10" defaultRowHeight="20"/>
  <sheetData>
    <row r="1" spans="1:18">
      <c r="A1" t="s">
        <v>354</v>
      </c>
      <c r="B1" t="s">
        <v>355</v>
      </c>
      <c r="C1" t="s">
        <v>419</v>
      </c>
      <c r="D1" t="s">
        <v>4</v>
      </c>
      <c r="E1" t="s">
        <v>5</v>
      </c>
      <c r="F1" t="s">
        <v>383</v>
      </c>
      <c r="G1" s="10" t="s">
        <v>53</v>
      </c>
      <c r="H1" s="8" t="s">
        <v>52</v>
      </c>
      <c r="I1" s="7" t="s">
        <v>421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243</v>
      </c>
      <c r="Q1" t="s">
        <v>55</v>
      </c>
      <c r="R1" t="s">
        <v>362</v>
      </c>
    </row>
    <row r="2" spans="1:18">
      <c r="A2" t="s">
        <v>363</v>
      </c>
      <c r="B2">
        <v>100</v>
      </c>
      <c r="C2" s="1">
        <v>36280</v>
      </c>
      <c r="D2">
        <v>-31.301369863013601</v>
      </c>
      <c r="E2">
        <v>43.956262425447299</v>
      </c>
      <c r="F2">
        <v>0</v>
      </c>
      <c r="G2">
        <f>N2/24</f>
        <v>5.4166666666666669E-3</v>
      </c>
      <c r="H2">
        <f>O2/24</f>
        <v>2.4166666666666666E-2</v>
      </c>
      <c r="I2">
        <f>M2/24</f>
        <v>4.1666666666666669E-4</v>
      </c>
      <c r="J2">
        <v>0.06</v>
      </c>
      <c r="K2">
        <v>0.03</v>
      </c>
      <c r="L2">
        <v>1.59</v>
      </c>
      <c r="M2">
        <v>0.01</v>
      </c>
      <c r="N2">
        <v>0.13</v>
      </c>
      <c r="O2">
        <v>0.57999999999999996</v>
      </c>
      <c r="P2">
        <v>0.02</v>
      </c>
      <c r="Q2">
        <v>0</v>
      </c>
      <c r="R2">
        <v>0.05</v>
      </c>
    </row>
    <row r="3" spans="1:18">
      <c r="A3" t="s">
        <v>363</v>
      </c>
      <c r="B3">
        <v>50</v>
      </c>
      <c r="C3" s="1">
        <v>36281</v>
      </c>
      <c r="D3">
        <v>-31.301369863013601</v>
      </c>
      <c r="E3">
        <v>43.956262425447299</v>
      </c>
      <c r="F3">
        <v>15</v>
      </c>
      <c r="G3">
        <f t="shared" ref="G3:G36" si="0">N3/24</f>
        <v>2.5000000000000001E-3</v>
      </c>
      <c r="H3">
        <f t="shared" ref="H3:H36" si="1">O3/24</f>
        <v>9.5833333333333343E-3</v>
      </c>
      <c r="I3">
        <f t="shared" ref="I3:I36" si="2">M3/24</f>
        <v>8.3333333333333339E-4</v>
      </c>
      <c r="J3">
        <v>0.13</v>
      </c>
      <c r="K3">
        <v>0.03</v>
      </c>
      <c r="L3">
        <v>1.1000000000000001</v>
      </c>
      <c r="M3">
        <v>0.02</v>
      </c>
      <c r="N3">
        <v>0.06</v>
      </c>
      <c r="O3">
        <v>0.23</v>
      </c>
      <c r="P3">
        <v>7.0000000000000007E-2</v>
      </c>
      <c r="Q3">
        <v>20</v>
      </c>
      <c r="R3">
        <v>0.05</v>
      </c>
    </row>
    <row r="4" spans="1:18">
      <c r="A4" t="s">
        <v>363</v>
      </c>
      <c r="B4">
        <v>25</v>
      </c>
      <c r="C4" s="1">
        <v>36282</v>
      </c>
      <c r="D4">
        <v>-31.301369863013601</v>
      </c>
      <c r="E4">
        <v>43.956262425447299</v>
      </c>
      <c r="F4">
        <v>26</v>
      </c>
      <c r="G4">
        <f t="shared" si="0"/>
        <v>2.5000000000000001E-3</v>
      </c>
      <c r="H4">
        <f t="shared" si="1"/>
        <v>9.1666666666666667E-3</v>
      </c>
      <c r="I4">
        <f t="shared" si="2"/>
        <v>4.1666666666666669E-4</v>
      </c>
      <c r="J4">
        <v>0.18</v>
      </c>
      <c r="K4">
        <v>0.03</v>
      </c>
      <c r="L4">
        <v>1.03</v>
      </c>
      <c r="M4">
        <v>0.01</v>
      </c>
      <c r="N4">
        <v>0.06</v>
      </c>
      <c r="O4">
        <v>0.22</v>
      </c>
      <c r="P4">
        <v>0.04</v>
      </c>
      <c r="Q4">
        <v>50</v>
      </c>
      <c r="R4">
        <v>0.09</v>
      </c>
    </row>
    <row r="5" spans="1:18">
      <c r="A5" t="s">
        <v>363</v>
      </c>
      <c r="B5">
        <v>10</v>
      </c>
      <c r="C5" s="1">
        <v>36283</v>
      </c>
      <c r="D5">
        <v>-31.301369863013601</v>
      </c>
      <c r="E5">
        <v>43.956262425447299</v>
      </c>
      <c r="F5">
        <v>50</v>
      </c>
      <c r="G5">
        <f t="shared" si="0"/>
        <v>2.0833333333333333E-3</v>
      </c>
      <c r="H5">
        <f t="shared" si="1"/>
        <v>9.5833333333333343E-3</v>
      </c>
      <c r="I5">
        <f t="shared" si="2"/>
        <v>4.1666666666666669E-4</v>
      </c>
      <c r="J5">
        <v>0.18</v>
      </c>
      <c r="K5">
        <v>0.01</v>
      </c>
      <c r="L5">
        <v>1.38</v>
      </c>
      <c r="M5">
        <v>0.01</v>
      </c>
      <c r="N5">
        <v>0.05</v>
      </c>
      <c r="O5">
        <v>0.23</v>
      </c>
      <c r="P5">
        <v>0.03</v>
      </c>
      <c r="Q5">
        <v>100</v>
      </c>
      <c r="R5">
        <v>0.09</v>
      </c>
    </row>
    <row r="6" spans="1:18">
      <c r="A6" t="s">
        <v>363</v>
      </c>
      <c r="B6">
        <v>1</v>
      </c>
      <c r="C6" s="1">
        <v>36284</v>
      </c>
      <c r="D6">
        <v>-31.301369863013601</v>
      </c>
      <c r="E6">
        <v>43.956262425447299</v>
      </c>
      <c r="F6">
        <v>99</v>
      </c>
      <c r="G6">
        <f t="shared" si="0"/>
        <v>2.5000000000000001E-3</v>
      </c>
      <c r="H6">
        <f t="shared" si="1"/>
        <v>4.1666666666666666E-3</v>
      </c>
      <c r="I6">
        <f t="shared" si="2"/>
        <v>1.6666666666666668E-3</v>
      </c>
      <c r="J6">
        <v>1.89</v>
      </c>
      <c r="K6">
        <v>0.03</v>
      </c>
      <c r="L6">
        <v>1.45</v>
      </c>
      <c r="M6">
        <v>0.04</v>
      </c>
      <c r="N6">
        <v>0.06</v>
      </c>
      <c r="O6">
        <v>0.1</v>
      </c>
      <c r="P6">
        <v>0.18</v>
      </c>
      <c r="Q6">
        <v>0</v>
      </c>
      <c r="R6">
        <v>0.08</v>
      </c>
    </row>
    <row r="7" spans="1:18">
      <c r="A7" t="s">
        <v>364</v>
      </c>
      <c r="B7">
        <v>100</v>
      </c>
      <c r="C7" s="1">
        <v>36285</v>
      </c>
      <c r="D7">
        <v>-36.835616438356098</v>
      </c>
      <c r="E7">
        <v>43.956262425447299</v>
      </c>
      <c r="F7">
        <v>0</v>
      </c>
      <c r="G7">
        <f t="shared" si="0"/>
        <v>4.4583333333333336E-2</v>
      </c>
      <c r="H7">
        <f t="shared" si="1"/>
        <v>1.6250000000000001E-2</v>
      </c>
      <c r="I7">
        <f t="shared" si="2"/>
        <v>1.6666666666666668E-3</v>
      </c>
      <c r="J7">
        <v>0.01</v>
      </c>
      <c r="K7">
        <v>1.22</v>
      </c>
      <c r="L7">
        <v>2.5</v>
      </c>
      <c r="M7">
        <v>0.04</v>
      </c>
      <c r="N7">
        <v>1.07</v>
      </c>
      <c r="O7">
        <v>0.39</v>
      </c>
      <c r="P7">
        <v>0.02</v>
      </c>
      <c r="Q7">
        <v>0</v>
      </c>
      <c r="R7">
        <v>0.09</v>
      </c>
    </row>
    <row r="8" spans="1:18">
      <c r="A8" t="s">
        <v>364</v>
      </c>
      <c r="B8">
        <v>50</v>
      </c>
      <c r="C8" s="1">
        <v>36286</v>
      </c>
      <c r="D8">
        <v>-36.835616438356098</v>
      </c>
      <c r="E8">
        <v>43.956262425447299</v>
      </c>
      <c r="F8">
        <v>9</v>
      </c>
      <c r="G8">
        <f t="shared" si="0"/>
        <v>5.0000000000000001E-3</v>
      </c>
      <c r="H8">
        <f t="shared" si="1"/>
        <v>3.7499999999999999E-3</v>
      </c>
      <c r="I8">
        <f t="shared" si="2"/>
        <v>4.1666666666666669E-4</v>
      </c>
      <c r="J8">
        <v>0.1</v>
      </c>
      <c r="K8">
        <v>0.12</v>
      </c>
      <c r="L8">
        <v>0.83</v>
      </c>
      <c r="M8">
        <v>0.01</v>
      </c>
      <c r="N8">
        <v>0.12</v>
      </c>
      <c r="O8">
        <v>0.09</v>
      </c>
      <c r="P8">
        <v>0.05</v>
      </c>
      <c r="Q8">
        <v>25</v>
      </c>
      <c r="R8">
        <v>0.09</v>
      </c>
    </row>
    <row r="9" spans="1:18">
      <c r="A9" t="s">
        <v>364</v>
      </c>
      <c r="B9">
        <v>25</v>
      </c>
      <c r="C9" s="1">
        <v>36287</v>
      </c>
      <c r="D9">
        <v>-36.835616438356098</v>
      </c>
      <c r="E9">
        <v>43.956262425447299</v>
      </c>
      <c r="F9">
        <v>15</v>
      </c>
      <c r="G9">
        <f t="shared" si="0"/>
        <v>7.4999999999999997E-3</v>
      </c>
      <c r="H9">
        <f t="shared" si="1"/>
        <v>2.0833333333333333E-3</v>
      </c>
      <c r="I9">
        <f t="shared" si="2"/>
        <v>4.1666666666666669E-4</v>
      </c>
      <c r="J9">
        <v>0.16</v>
      </c>
      <c r="K9">
        <v>0.41</v>
      </c>
      <c r="L9">
        <v>0.17</v>
      </c>
      <c r="M9">
        <v>0.01</v>
      </c>
      <c r="N9">
        <v>0.18</v>
      </c>
      <c r="O9">
        <v>0.05</v>
      </c>
      <c r="P9">
        <v>0.06</v>
      </c>
      <c r="Q9">
        <v>50</v>
      </c>
      <c r="R9">
        <v>0.08</v>
      </c>
    </row>
    <row r="10" spans="1:18">
      <c r="A10" t="s">
        <v>364</v>
      </c>
      <c r="B10">
        <v>10</v>
      </c>
      <c r="C10" s="1">
        <v>36288</v>
      </c>
      <c r="D10">
        <v>-36.835616438356098</v>
      </c>
      <c r="E10">
        <v>43.956262425447299</v>
      </c>
      <c r="F10">
        <v>29</v>
      </c>
      <c r="G10">
        <f t="shared" si="0"/>
        <v>6.2499999999999995E-3</v>
      </c>
      <c r="H10">
        <f t="shared" si="1"/>
        <v>8.3333333333333339E-4</v>
      </c>
      <c r="I10">
        <f t="shared" si="2"/>
        <v>0</v>
      </c>
      <c r="J10">
        <v>0.24</v>
      </c>
      <c r="K10">
        <v>0.28999999999999998</v>
      </c>
      <c r="L10">
        <v>0.17</v>
      </c>
      <c r="M10">
        <v>0</v>
      </c>
      <c r="N10">
        <v>0.15</v>
      </c>
      <c r="O10">
        <v>0.02</v>
      </c>
      <c r="P10">
        <v>0.01</v>
      </c>
      <c r="Q10">
        <v>75</v>
      </c>
      <c r="R10">
        <v>0.15</v>
      </c>
    </row>
    <row r="11" spans="1:18">
      <c r="A11" t="s">
        <v>364</v>
      </c>
      <c r="B11">
        <v>1</v>
      </c>
      <c r="C11" s="1">
        <v>36289</v>
      </c>
      <c r="D11">
        <v>-36.835616438356098</v>
      </c>
      <c r="E11">
        <v>43.956262425447299</v>
      </c>
      <c r="F11">
        <v>58</v>
      </c>
      <c r="G11">
        <f t="shared" si="0"/>
        <v>7.0833333333333338E-3</v>
      </c>
      <c r="H11">
        <f t="shared" si="1"/>
        <v>2.9166666666666668E-3</v>
      </c>
      <c r="I11">
        <f t="shared" si="2"/>
        <v>4.1666666666666669E-4</v>
      </c>
      <c r="J11">
        <v>0.17</v>
      </c>
      <c r="K11">
        <v>0.17</v>
      </c>
      <c r="L11">
        <v>0.67</v>
      </c>
      <c r="M11">
        <v>0.01</v>
      </c>
      <c r="N11">
        <v>0.17</v>
      </c>
      <c r="O11">
        <v>7.0000000000000007E-2</v>
      </c>
      <c r="P11">
        <v>0.04</v>
      </c>
      <c r="Q11">
        <v>100</v>
      </c>
      <c r="R11">
        <v>0.08</v>
      </c>
    </row>
    <row r="12" spans="1:18">
      <c r="A12" t="s">
        <v>364</v>
      </c>
      <c r="B12">
        <v>0.1</v>
      </c>
      <c r="C12" s="1">
        <v>36290</v>
      </c>
      <c r="D12">
        <v>-36.835616438356098</v>
      </c>
      <c r="E12">
        <v>43.956262425447299</v>
      </c>
      <c r="F12">
        <v>86</v>
      </c>
      <c r="G12">
        <f t="shared" si="0"/>
        <v>5.4166666666666669E-3</v>
      </c>
      <c r="H12">
        <f t="shared" si="1"/>
        <v>8.3333333333333339E-4</v>
      </c>
      <c r="I12">
        <f t="shared" si="2"/>
        <v>4.1666666666666669E-4</v>
      </c>
      <c r="J12">
        <v>0.47</v>
      </c>
      <c r="K12">
        <v>0.06</v>
      </c>
      <c r="L12">
        <v>0.17</v>
      </c>
      <c r="M12">
        <v>0.01</v>
      </c>
      <c r="N12">
        <v>0.13</v>
      </c>
      <c r="O12">
        <v>0.02</v>
      </c>
      <c r="P12">
        <v>0.08</v>
      </c>
      <c r="Q12">
        <v>150</v>
      </c>
      <c r="R12">
        <v>0.01</v>
      </c>
    </row>
    <row r="13" spans="1:18">
      <c r="A13" t="s">
        <v>365</v>
      </c>
      <c r="B13">
        <v>100</v>
      </c>
      <c r="C13" s="1">
        <v>36291</v>
      </c>
      <c r="D13">
        <v>-39.767123287671197</v>
      </c>
      <c r="E13">
        <v>44.063618290258397</v>
      </c>
      <c r="F13">
        <v>0</v>
      </c>
      <c r="G13">
        <f t="shared" si="0"/>
        <v>2.5416666666666667E-2</v>
      </c>
      <c r="H13">
        <f t="shared" si="1"/>
        <v>1.7499999999999998E-2</v>
      </c>
      <c r="I13">
        <f t="shared" si="2"/>
        <v>3.3333333333333335E-3</v>
      </c>
      <c r="J13">
        <v>0.06</v>
      </c>
      <c r="K13">
        <v>0.68</v>
      </c>
      <c r="L13">
        <v>0.79</v>
      </c>
      <c r="M13">
        <v>0.08</v>
      </c>
      <c r="N13">
        <v>0.61</v>
      </c>
      <c r="O13">
        <v>0.42</v>
      </c>
      <c r="P13">
        <v>7.0000000000000007E-2</v>
      </c>
      <c r="Q13">
        <v>0</v>
      </c>
      <c r="R13">
        <v>0.27</v>
      </c>
    </row>
    <row r="14" spans="1:18">
      <c r="A14" t="s">
        <v>365</v>
      </c>
      <c r="B14">
        <v>50</v>
      </c>
      <c r="C14" s="1">
        <v>36292</v>
      </c>
      <c r="D14">
        <v>-39.767123287671197</v>
      </c>
      <c r="E14">
        <v>44.063618290258397</v>
      </c>
      <c r="F14">
        <v>9</v>
      </c>
      <c r="G14">
        <f t="shared" si="0"/>
        <v>2.0416666666666666E-2</v>
      </c>
      <c r="H14">
        <f t="shared" si="1"/>
        <v>3.4583333333333334E-2</v>
      </c>
      <c r="I14">
        <f t="shared" si="2"/>
        <v>2.9166666666666668E-3</v>
      </c>
      <c r="J14">
        <v>0.16</v>
      </c>
      <c r="K14">
        <v>0.68</v>
      </c>
      <c r="L14">
        <v>1.53</v>
      </c>
      <c r="M14">
        <v>7.0000000000000007E-2</v>
      </c>
      <c r="N14">
        <v>0.49</v>
      </c>
      <c r="O14">
        <v>0.83</v>
      </c>
      <c r="P14">
        <v>0.05</v>
      </c>
      <c r="Q14">
        <v>25</v>
      </c>
      <c r="R14">
        <v>0.19</v>
      </c>
    </row>
    <row r="15" spans="1:18">
      <c r="A15" t="s">
        <v>365</v>
      </c>
      <c r="B15">
        <v>25</v>
      </c>
      <c r="C15" s="1">
        <v>36293</v>
      </c>
      <c r="D15">
        <v>-39.767123287671197</v>
      </c>
      <c r="E15">
        <v>44.063618290258397</v>
      </c>
      <c r="F15">
        <v>15</v>
      </c>
      <c r="G15">
        <f t="shared" si="0"/>
        <v>2.2083333333333333E-2</v>
      </c>
      <c r="H15">
        <f t="shared" si="1"/>
        <v>2.5416666666666667E-2</v>
      </c>
      <c r="I15">
        <f t="shared" si="2"/>
        <v>8.3333333333333332E-3</v>
      </c>
      <c r="J15">
        <v>0.22</v>
      </c>
      <c r="K15">
        <v>0.41</v>
      </c>
      <c r="L15">
        <v>0.84</v>
      </c>
      <c r="M15">
        <v>0.2</v>
      </c>
      <c r="N15">
        <v>0.53</v>
      </c>
      <c r="O15">
        <v>0.61</v>
      </c>
      <c r="P15">
        <v>0.15</v>
      </c>
      <c r="Q15">
        <v>50</v>
      </c>
      <c r="R15">
        <v>0.24</v>
      </c>
    </row>
    <row r="16" spans="1:18">
      <c r="A16" t="s">
        <v>365</v>
      </c>
      <c r="B16">
        <v>10</v>
      </c>
      <c r="C16" s="1">
        <v>36294</v>
      </c>
      <c r="D16">
        <v>-39.767123287671197</v>
      </c>
      <c r="E16">
        <v>44.063618290258397</v>
      </c>
      <c r="F16">
        <v>29</v>
      </c>
      <c r="G16">
        <f t="shared" si="0"/>
        <v>1.8333333333333333E-2</v>
      </c>
      <c r="H16">
        <f t="shared" si="1"/>
        <v>9.5833333333333343E-3</v>
      </c>
      <c r="I16">
        <f t="shared" si="2"/>
        <v>4.1666666666666666E-3</v>
      </c>
      <c r="J16">
        <v>0.44</v>
      </c>
      <c r="K16">
        <v>0.47</v>
      </c>
      <c r="L16">
        <v>0.74</v>
      </c>
      <c r="M16">
        <v>0.1</v>
      </c>
      <c r="N16">
        <v>0.44</v>
      </c>
      <c r="O16">
        <v>0.23</v>
      </c>
      <c r="P16">
        <v>0.13</v>
      </c>
      <c r="Q16">
        <v>75</v>
      </c>
      <c r="R16">
        <v>0.25</v>
      </c>
    </row>
    <row r="17" spans="1:18">
      <c r="A17" t="s">
        <v>365</v>
      </c>
      <c r="B17">
        <v>1</v>
      </c>
      <c r="C17" s="1">
        <v>36295</v>
      </c>
      <c r="D17">
        <v>-39.767123287671197</v>
      </c>
      <c r="E17">
        <v>44.063618290258397</v>
      </c>
      <c r="F17">
        <v>58</v>
      </c>
      <c r="G17">
        <f t="shared" si="0"/>
        <v>1.8333333333333333E-2</v>
      </c>
      <c r="H17">
        <f t="shared" si="1"/>
        <v>9.5833333333333343E-3</v>
      </c>
      <c r="I17">
        <f t="shared" si="2"/>
        <v>4.1666666666666666E-3</v>
      </c>
      <c r="J17">
        <v>0.44</v>
      </c>
      <c r="K17">
        <v>0.47</v>
      </c>
      <c r="L17">
        <v>0.74</v>
      </c>
      <c r="M17">
        <v>0.1</v>
      </c>
      <c r="N17">
        <v>0.44</v>
      </c>
      <c r="O17">
        <v>0.23</v>
      </c>
      <c r="P17">
        <v>0.13</v>
      </c>
      <c r="Q17">
        <v>100</v>
      </c>
      <c r="R17">
        <v>0.12</v>
      </c>
    </row>
    <row r="18" spans="1:18">
      <c r="A18" t="s">
        <v>365</v>
      </c>
      <c r="B18">
        <v>0.1</v>
      </c>
      <c r="C18" s="1">
        <v>36296</v>
      </c>
      <c r="D18">
        <v>-39.767123287671197</v>
      </c>
      <c r="E18">
        <v>44.063618290258397</v>
      </c>
      <c r="F18">
        <v>86</v>
      </c>
      <c r="G18">
        <f t="shared" si="0"/>
        <v>1.4583333333333332E-2</v>
      </c>
      <c r="H18">
        <f t="shared" si="1"/>
        <v>1.25E-3</v>
      </c>
      <c r="I18">
        <f t="shared" si="2"/>
        <v>1.6666666666666668E-3</v>
      </c>
      <c r="J18">
        <v>0.63</v>
      </c>
      <c r="K18">
        <v>0.34</v>
      </c>
      <c r="L18">
        <v>0.2</v>
      </c>
      <c r="M18">
        <v>0.04</v>
      </c>
      <c r="N18">
        <v>0.35</v>
      </c>
      <c r="O18">
        <v>0.03</v>
      </c>
      <c r="P18">
        <v>0.08</v>
      </c>
      <c r="Q18">
        <v>150</v>
      </c>
      <c r="R18">
        <v>0.02</v>
      </c>
    </row>
    <row r="19" spans="1:18">
      <c r="A19" t="s">
        <v>366</v>
      </c>
      <c r="B19">
        <v>100</v>
      </c>
      <c r="C19" s="1">
        <v>36297</v>
      </c>
      <c r="D19">
        <v>-42.863013698630098</v>
      </c>
      <c r="E19">
        <v>40.9145129224652</v>
      </c>
      <c r="F19">
        <v>0</v>
      </c>
      <c r="G19">
        <f t="shared" si="0"/>
        <v>6.6666666666666671E-3</v>
      </c>
      <c r="H19">
        <f t="shared" si="1"/>
        <v>7.4999999999999997E-3</v>
      </c>
      <c r="I19">
        <f t="shared" si="2"/>
        <v>1.25E-3</v>
      </c>
      <c r="J19">
        <v>2.13</v>
      </c>
      <c r="K19">
        <v>0.28000000000000003</v>
      </c>
      <c r="L19">
        <v>0.76</v>
      </c>
      <c r="M19">
        <v>0.03</v>
      </c>
      <c r="N19">
        <v>0.16</v>
      </c>
      <c r="O19">
        <v>0.18</v>
      </c>
      <c r="P19">
        <v>0.08</v>
      </c>
      <c r="Q19">
        <v>0</v>
      </c>
      <c r="R19">
        <v>0.38</v>
      </c>
    </row>
    <row r="20" spans="1:18">
      <c r="A20" t="s">
        <v>366</v>
      </c>
      <c r="B20">
        <v>50</v>
      </c>
      <c r="C20" s="1">
        <v>36298</v>
      </c>
      <c r="D20">
        <v>-42.863013698630098</v>
      </c>
      <c r="E20">
        <v>40.9145129224652</v>
      </c>
      <c r="F20">
        <v>5</v>
      </c>
      <c r="G20">
        <f t="shared" si="0"/>
        <v>5.8333333333333336E-3</v>
      </c>
      <c r="H20">
        <f t="shared" si="1"/>
        <v>9.5833333333333343E-3</v>
      </c>
      <c r="I20">
        <f t="shared" si="2"/>
        <v>1.25E-3</v>
      </c>
      <c r="J20">
        <v>2.1</v>
      </c>
      <c r="K20">
        <v>0.17</v>
      </c>
      <c r="L20">
        <v>0.76</v>
      </c>
      <c r="M20">
        <v>0.03</v>
      </c>
      <c r="N20">
        <v>0.14000000000000001</v>
      </c>
      <c r="O20">
        <v>0.23</v>
      </c>
      <c r="P20">
        <v>7.0000000000000007E-2</v>
      </c>
      <c r="Q20">
        <v>25</v>
      </c>
      <c r="R20">
        <v>0.39</v>
      </c>
    </row>
    <row r="21" spans="1:18">
      <c r="A21" t="s">
        <v>366</v>
      </c>
      <c r="B21">
        <v>25</v>
      </c>
      <c r="C21" s="1">
        <v>36299</v>
      </c>
      <c r="D21">
        <v>-42.863013698630098</v>
      </c>
      <c r="E21">
        <v>40.9145129224652</v>
      </c>
      <c r="F21">
        <v>9</v>
      </c>
      <c r="G21">
        <f t="shared" si="0"/>
        <v>6.2499999999999995E-3</v>
      </c>
      <c r="H21">
        <f t="shared" si="1"/>
        <v>1.2916666666666667E-2</v>
      </c>
      <c r="I21">
        <f t="shared" si="2"/>
        <v>2.0833333333333333E-3</v>
      </c>
      <c r="J21">
        <v>2.0699999999999998</v>
      </c>
      <c r="K21">
        <v>0.22</v>
      </c>
      <c r="L21">
        <v>1.05</v>
      </c>
      <c r="M21">
        <v>0.05</v>
      </c>
      <c r="N21">
        <v>0.15</v>
      </c>
      <c r="O21">
        <v>0.31</v>
      </c>
      <c r="P21">
        <v>0.1</v>
      </c>
      <c r="Q21">
        <v>50</v>
      </c>
      <c r="R21">
        <v>0.4</v>
      </c>
    </row>
    <row r="22" spans="1:18">
      <c r="A22" t="s">
        <v>366</v>
      </c>
      <c r="B22">
        <v>10</v>
      </c>
      <c r="C22" s="1">
        <v>36300</v>
      </c>
      <c r="D22">
        <v>-42.863013698630098</v>
      </c>
      <c r="E22">
        <v>40.9145129224652</v>
      </c>
      <c r="F22">
        <v>18</v>
      </c>
      <c r="G22">
        <f t="shared" si="0"/>
        <v>5.4166666666666669E-3</v>
      </c>
      <c r="H22">
        <f t="shared" si="1"/>
        <v>6.2499999999999995E-3</v>
      </c>
      <c r="I22">
        <f t="shared" si="2"/>
        <v>4.1666666666666669E-4</v>
      </c>
      <c r="J22">
        <v>2.0099999999999998</v>
      </c>
      <c r="K22">
        <v>0.28000000000000003</v>
      </c>
      <c r="L22">
        <v>0.76</v>
      </c>
      <c r="M22">
        <v>0.01</v>
      </c>
      <c r="N22">
        <v>0.13</v>
      </c>
      <c r="O22">
        <v>0.15</v>
      </c>
      <c r="P22">
        <v>0.03</v>
      </c>
      <c r="Q22">
        <v>75</v>
      </c>
      <c r="R22">
        <v>0.37</v>
      </c>
    </row>
    <row r="23" spans="1:18">
      <c r="A23" t="s">
        <v>366</v>
      </c>
      <c r="B23">
        <v>1</v>
      </c>
      <c r="C23" s="1">
        <v>36301</v>
      </c>
      <c r="D23">
        <v>-42.863013698630098</v>
      </c>
      <c r="E23">
        <v>40.9145129224652</v>
      </c>
      <c r="F23">
        <v>35</v>
      </c>
      <c r="G23">
        <f t="shared" si="0"/>
        <v>5.4166666666666669E-3</v>
      </c>
      <c r="H23">
        <f t="shared" si="1"/>
        <v>9.5833333333333343E-3</v>
      </c>
      <c r="I23">
        <f t="shared" si="2"/>
        <v>8.3333333333333339E-4</v>
      </c>
      <c r="J23">
        <v>1.86</v>
      </c>
      <c r="K23">
        <v>0.33</v>
      </c>
      <c r="L23">
        <v>2.67</v>
      </c>
      <c r="M23">
        <v>0.02</v>
      </c>
      <c r="N23">
        <v>0.13</v>
      </c>
      <c r="O23">
        <v>0.23</v>
      </c>
      <c r="P23">
        <v>0.04</v>
      </c>
      <c r="Q23">
        <v>100</v>
      </c>
      <c r="R23">
        <v>0.05</v>
      </c>
    </row>
    <row r="24" spans="1:18">
      <c r="A24" t="s">
        <v>366</v>
      </c>
      <c r="B24">
        <v>0.1</v>
      </c>
      <c r="C24" s="1">
        <v>36302</v>
      </c>
      <c r="D24">
        <v>-42.863013698630098</v>
      </c>
      <c r="E24">
        <v>40.9145129224652</v>
      </c>
      <c r="F24">
        <v>53</v>
      </c>
      <c r="G24">
        <f t="shared" si="0"/>
        <v>3.3333333333333335E-3</v>
      </c>
      <c r="H24">
        <f t="shared" si="1"/>
        <v>3.7499999999999999E-3</v>
      </c>
      <c r="I24">
        <f t="shared" si="2"/>
        <v>4.1666666666666669E-4</v>
      </c>
      <c r="J24">
        <v>1.91</v>
      </c>
      <c r="K24">
        <v>0.33</v>
      </c>
      <c r="L24">
        <v>2.57</v>
      </c>
      <c r="M24">
        <v>0.01</v>
      </c>
      <c r="N24">
        <v>0.08</v>
      </c>
      <c r="O24">
        <v>0.09</v>
      </c>
      <c r="P24">
        <v>0.06</v>
      </c>
      <c r="Q24">
        <v>150</v>
      </c>
      <c r="R24">
        <v>0.01</v>
      </c>
    </row>
    <row r="25" spans="1:18">
      <c r="A25" t="s">
        <v>367</v>
      </c>
      <c r="B25">
        <v>100</v>
      </c>
      <c r="C25" s="1">
        <v>36303</v>
      </c>
      <c r="D25">
        <v>-45.328767123287598</v>
      </c>
      <c r="E25">
        <v>38.7316103379721</v>
      </c>
      <c r="F25">
        <v>0</v>
      </c>
      <c r="G25">
        <f t="shared" si="0"/>
        <v>2.5000000000000001E-3</v>
      </c>
      <c r="H25">
        <f t="shared" si="1"/>
        <v>2.5000000000000001E-3</v>
      </c>
      <c r="I25">
        <f t="shared" si="2"/>
        <v>8.3333333333333339E-4</v>
      </c>
      <c r="J25">
        <v>7.66</v>
      </c>
      <c r="K25">
        <v>0.23</v>
      </c>
      <c r="L25">
        <v>0.59</v>
      </c>
      <c r="M25">
        <v>0.02</v>
      </c>
      <c r="N25">
        <v>0.06</v>
      </c>
      <c r="O25">
        <v>0.06</v>
      </c>
      <c r="P25">
        <v>0.15</v>
      </c>
      <c r="Q25">
        <v>0</v>
      </c>
      <c r="R25">
        <v>0.61</v>
      </c>
    </row>
    <row r="26" spans="1:18">
      <c r="A26" t="s">
        <v>367</v>
      </c>
      <c r="B26">
        <v>50</v>
      </c>
      <c r="C26" s="1">
        <v>36304</v>
      </c>
      <c r="D26">
        <v>-45.328767123287598</v>
      </c>
      <c r="E26">
        <v>38.7316103379721</v>
      </c>
      <c r="F26">
        <v>5</v>
      </c>
      <c r="G26">
        <f t="shared" si="0"/>
        <v>2.0833333333333333E-3</v>
      </c>
      <c r="H26">
        <f t="shared" si="1"/>
        <v>3.7499999999999999E-3</v>
      </c>
      <c r="I26">
        <f t="shared" si="2"/>
        <v>1.25E-3</v>
      </c>
      <c r="J26">
        <v>7.66</v>
      </c>
      <c r="K26">
        <v>0.23</v>
      </c>
      <c r="L26">
        <v>0.71</v>
      </c>
      <c r="M26">
        <v>0.03</v>
      </c>
      <c r="N26">
        <v>0.05</v>
      </c>
      <c r="O26">
        <v>0.09</v>
      </c>
      <c r="P26">
        <v>0.15</v>
      </c>
      <c r="Q26">
        <v>25</v>
      </c>
      <c r="R26">
        <v>0.47</v>
      </c>
    </row>
    <row r="27" spans="1:18">
      <c r="A27" t="s">
        <v>367</v>
      </c>
      <c r="B27">
        <v>25</v>
      </c>
      <c r="C27" s="1">
        <v>36305</v>
      </c>
      <c r="D27">
        <v>-45.328767123287598</v>
      </c>
      <c r="E27">
        <v>38.7316103379721</v>
      </c>
      <c r="F27">
        <v>9</v>
      </c>
      <c r="G27">
        <f t="shared" si="0"/>
        <v>6.2499999999999995E-3</v>
      </c>
      <c r="H27">
        <f t="shared" si="1"/>
        <v>2.9166666666666668E-3</v>
      </c>
      <c r="I27">
        <f t="shared" si="2"/>
        <v>1.25E-3</v>
      </c>
      <c r="J27">
        <v>7.66</v>
      </c>
      <c r="K27">
        <v>0.52</v>
      </c>
      <c r="L27">
        <v>0.59</v>
      </c>
      <c r="M27">
        <v>0.03</v>
      </c>
      <c r="N27">
        <v>0.15</v>
      </c>
      <c r="O27">
        <v>7.0000000000000007E-2</v>
      </c>
      <c r="P27">
        <v>0.13</v>
      </c>
      <c r="Q27">
        <v>50</v>
      </c>
      <c r="R27">
        <v>0.41</v>
      </c>
    </row>
    <row r="28" spans="1:18">
      <c r="A28" t="s">
        <v>367</v>
      </c>
      <c r="B28">
        <v>10</v>
      </c>
      <c r="C28" s="1">
        <v>36306</v>
      </c>
      <c r="D28">
        <v>-45.328767123287598</v>
      </c>
      <c r="E28">
        <v>38.7316103379721</v>
      </c>
      <c r="F28">
        <v>18</v>
      </c>
      <c r="G28">
        <f t="shared" si="0"/>
        <v>1.6666666666666668E-3</v>
      </c>
      <c r="H28">
        <f t="shared" si="1"/>
        <v>2.9166666666666668E-3</v>
      </c>
      <c r="I28">
        <f t="shared" si="2"/>
        <v>8.3333333333333339E-4</v>
      </c>
      <c r="J28">
        <v>7.66</v>
      </c>
      <c r="K28">
        <v>0.12</v>
      </c>
      <c r="L28">
        <v>0.71</v>
      </c>
      <c r="M28">
        <v>0.02</v>
      </c>
      <c r="N28">
        <v>0.04</v>
      </c>
      <c r="O28">
        <v>7.0000000000000007E-2</v>
      </c>
      <c r="P28">
        <v>0.12</v>
      </c>
      <c r="Q28">
        <v>75</v>
      </c>
      <c r="R28">
        <v>0.11</v>
      </c>
    </row>
    <row r="29" spans="1:18">
      <c r="A29" t="s">
        <v>367</v>
      </c>
      <c r="B29">
        <v>1</v>
      </c>
      <c r="C29" s="1">
        <v>36307</v>
      </c>
      <c r="D29">
        <v>-45.328767123287598</v>
      </c>
      <c r="E29">
        <v>38.7316103379721</v>
      </c>
      <c r="F29">
        <v>35</v>
      </c>
      <c r="G29">
        <f t="shared" si="0"/>
        <v>1.25E-3</v>
      </c>
      <c r="H29">
        <f t="shared" si="1"/>
        <v>1.25E-3</v>
      </c>
      <c r="I29">
        <f t="shared" si="2"/>
        <v>4.1666666666666669E-4</v>
      </c>
      <c r="J29">
        <v>8.07</v>
      </c>
      <c r="K29">
        <v>0.17</v>
      </c>
      <c r="L29">
        <v>0.59</v>
      </c>
      <c r="M29">
        <v>0.01</v>
      </c>
      <c r="N29">
        <v>0.03</v>
      </c>
      <c r="O29">
        <v>0.03</v>
      </c>
      <c r="P29">
        <v>0.14000000000000001</v>
      </c>
      <c r="Q29">
        <v>100</v>
      </c>
      <c r="R29">
        <v>0.03</v>
      </c>
    </row>
    <row r="30" spans="1:18">
      <c r="A30" t="s">
        <v>367</v>
      </c>
      <c r="B30">
        <v>0.1</v>
      </c>
      <c r="C30" s="1">
        <v>36308</v>
      </c>
      <c r="D30">
        <v>-45.328767123287598</v>
      </c>
      <c r="E30">
        <v>38.7316103379721</v>
      </c>
      <c r="F30">
        <v>53</v>
      </c>
      <c r="G30">
        <f t="shared" si="0"/>
        <v>5.4166666666666669E-3</v>
      </c>
      <c r="H30">
        <f t="shared" si="1"/>
        <v>8.3333333333333339E-4</v>
      </c>
      <c r="I30">
        <f t="shared" si="2"/>
        <v>0</v>
      </c>
      <c r="J30">
        <v>8.69</v>
      </c>
      <c r="K30">
        <v>0.23</v>
      </c>
      <c r="L30">
        <v>0.35</v>
      </c>
      <c r="M30">
        <v>0</v>
      </c>
      <c r="N30">
        <v>0.13</v>
      </c>
      <c r="O30">
        <v>0.02</v>
      </c>
      <c r="P30">
        <v>0.03</v>
      </c>
      <c r="Q30">
        <v>150</v>
      </c>
      <c r="R30">
        <v>0.03</v>
      </c>
    </row>
    <row r="31" spans="1:18">
      <c r="A31" t="s">
        <v>368</v>
      </c>
      <c r="B31">
        <v>100</v>
      </c>
      <c r="C31" s="1">
        <v>36309</v>
      </c>
      <c r="D31">
        <v>-46.616438356164302</v>
      </c>
      <c r="E31">
        <v>37.836978131212703</v>
      </c>
      <c r="F31">
        <v>0</v>
      </c>
      <c r="G31">
        <f t="shared" si="0"/>
        <v>3.6249999999999998E-2</v>
      </c>
      <c r="H31">
        <f t="shared" si="1"/>
        <v>0.01</v>
      </c>
      <c r="I31">
        <f t="shared" si="2"/>
        <v>3.7499999999999999E-3</v>
      </c>
      <c r="J31">
        <v>7.84</v>
      </c>
      <c r="K31">
        <v>0.72</v>
      </c>
      <c r="L31">
        <v>0.28999999999999998</v>
      </c>
      <c r="M31">
        <v>0.09</v>
      </c>
      <c r="N31">
        <v>0.87</v>
      </c>
      <c r="O31">
        <v>0.24</v>
      </c>
      <c r="P31">
        <v>7.0000000000000007E-2</v>
      </c>
      <c r="Q31">
        <v>0</v>
      </c>
      <c r="R31">
        <v>0.63</v>
      </c>
    </row>
    <row r="32" spans="1:18">
      <c r="A32" t="s">
        <v>368</v>
      </c>
      <c r="B32">
        <v>50</v>
      </c>
      <c r="C32" s="1">
        <v>36310</v>
      </c>
      <c r="D32">
        <v>-46.616438356164302</v>
      </c>
      <c r="E32">
        <v>37.836978131212703</v>
      </c>
      <c r="F32">
        <v>10</v>
      </c>
      <c r="G32">
        <f t="shared" si="0"/>
        <v>2.3749999999999997E-2</v>
      </c>
      <c r="H32">
        <f t="shared" si="1"/>
        <v>8.7499999999999991E-3</v>
      </c>
      <c r="I32">
        <f t="shared" si="2"/>
        <v>4.5833333333333334E-3</v>
      </c>
      <c r="J32">
        <v>10.51</v>
      </c>
      <c r="K32">
        <v>0.67</v>
      </c>
      <c r="L32">
        <v>0.11</v>
      </c>
      <c r="M32">
        <v>0.11</v>
      </c>
      <c r="N32">
        <v>0.56999999999999995</v>
      </c>
      <c r="O32">
        <v>0.21</v>
      </c>
      <c r="P32">
        <v>0.12</v>
      </c>
      <c r="Q32">
        <v>25</v>
      </c>
      <c r="R32">
        <v>0.46</v>
      </c>
    </row>
    <row r="33" spans="1:18">
      <c r="A33" t="s">
        <v>368</v>
      </c>
      <c r="B33">
        <v>25</v>
      </c>
      <c r="C33" s="1">
        <v>36311</v>
      </c>
      <c r="D33">
        <v>-46.616438356164302</v>
      </c>
      <c r="E33">
        <v>37.836978131212703</v>
      </c>
      <c r="F33">
        <v>17</v>
      </c>
      <c r="G33">
        <f t="shared" si="0"/>
        <v>2.5833333333333333E-2</v>
      </c>
      <c r="H33">
        <f t="shared" si="1"/>
        <v>5.4166666666666669E-3</v>
      </c>
      <c r="I33">
        <f t="shared" si="2"/>
        <v>8.3333333333333332E-3</v>
      </c>
      <c r="J33">
        <v>12.39</v>
      </c>
      <c r="K33">
        <v>0.57999999999999996</v>
      </c>
      <c r="L33">
        <v>0.11</v>
      </c>
      <c r="M33">
        <v>0.2</v>
      </c>
      <c r="N33">
        <v>0.62</v>
      </c>
      <c r="O33">
        <v>0.13</v>
      </c>
      <c r="P33">
        <v>0.21</v>
      </c>
      <c r="Q33">
        <v>50</v>
      </c>
      <c r="R33">
        <v>0.56999999999999995</v>
      </c>
    </row>
    <row r="34" spans="1:18">
      <c r="A34" t="s">
        <v>368</v>
      </c>
      <c r="B34">
        <v>10</v>
      </c>
      <c r="C34" s="1">
        <v>36312</v>
      </c>
      <c r="D34">
        <v>-46.616438356164302</v>
      </c>
      <c r="E34">
        <v>37.836978131212703</v>
      </c>
      <c r="F34">
        <v>32</v>
      </c>
      <c r="G34">
        <f t="shared" si="0"/>
        <v>2.5416666666666667E-2</v>
      </c>
      <c r="H34">
        <f t="shared" si="1"/>
        <v>4.5833333333333334E-3</v>
      </c>
      <c r="I34">
        <f t="shared" si="2"/>
        <v>4.5833333333333334E-3</v>
      </c>
      <c r="J34">
        <v>14.71</v>
      </c>
      <c r="K34">
        <v>0.63</v>
      </c>
      <c r="L34">
        <v>0.11</v>
      </c>
      <c r="M34">
        <v>0.11</v>
      </c>
      <c r="N34">
        <v>0.61</v>
      </c>
      <c r="O34">
        <v>0.11</v>
      </c>
      <c r="P34">
        <v>0.13</v>
      </c>
      <c r="Q34">
        <v>75</v>
      </c>
      <c r="R34">
        <v>0.36</v>
      </c>
    </row>
    <row r="35" spans="1:18">
      <c r="A35" t="s">
        <v>368</v>
      </c>
      <c r="B35">
        <v>1</v>
      </c>
      <c r="C35" s="1">
        <v>36313</v>
      </c>
      <c r="D35">
        <v>-46.616438356164302</v>
      </c>
      <c r="E35">
        <v>37.836978131212703</v>
      </c>
      <c r="F35">
        <v>64</v>
      </c>
      <c r="G35">
        <f t="shared" si="0"/>
        <v>1.0833333333333334E-2</v>
      </c>
      <c r="H35">
        <f t="shared" si="1"/>
        <v>1.6666666666666668E-3</v>
      </c>
      <c r="I35">
        <f t="shared" si="2"/>
        <v>1.6666666666666668E-3</v>
      </c>
      <c r="J35">
        <v>10.29</v>
      </c>
      <c r="K35">
        <v>0.63</v>
      </c>
      <c r="L35">
        <v>0.11</v>
      </c>
      <c r="M35">
        <v>0.04</v>
      </c>
      <c r="N35">
        <v>0.26</v>
      </c>
      <c r="O35">
        <v>0.04</v>
      </c>
      <c r="P35">
        <v>0.13</v>
      </c>
      <c r="Q35">
        <v>100</v>
      </c>
      <c r="R35">
        <v>0.31</v>
      </c>
    </row>
    <row r="36" spans="1:18">
      <c r="A36" t="s">
        <v>368</v>
      </c>
      <c r="B36">
        <v>0.1</v>
      </c>
      <c r="C36" s="1">
        <v>36314</v>
      </c>
      <c r="D36">
        <v>-46.616438356164302</v>
      </c>
      <c r="E36">
        <v>37.836978131212703</v>
      </c>
      <c r="F36">
        <v>96</v>
      </c>
      <c r="G36">
        <f t="shared" si="0"/>
        <v>1.25E-3</v>
      </c>
      <c r="H36">
        <f t="shared" si="1"/>
        <v>4.1666666666666669E-4</v>
      </c>
      <c r="I36">
        <f t="shared" si="2"/>
        <v>7.9166666666666673E-3</v>
      </c>
      <c r="J36">
        <v>8.44</v>
      </c>
      <c r="K36">
        <v>0.57999999999999996</v>
      </c>
      <c r="L36">
        <v>0.11</v>
      </c>
      <c r="M36">
        <v>0.19</v>
      </c>
      <c r="N36">
        <v>0.03</v>
      </c>
      <c r="O36">
        <v>0.01</v>
      </c>
      <c r="P36">
        <v>-0.83</v>
      </c>
      <c r="Q36">
        <v>150</v>
      </c>
      <c r="R36">
        <v>0.05</v>
      </c>
    </row>
  </sheetData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8B25-11FC-9343-81DA-218F72C4BDB5}">
  <dimension ref="A1:O19"/>
  <sheetViews>
    <sheetView workbookViewId="0">
      <selection activeCell="F1" sqref="F1:H1"/>
    </sheetView>
  </sheetViews>
  <sheetFormatPr baseColWidth="10" defaultRowHeight="20"/>
  <cols>
    <col min="1" max="1" width="15.7109375" bestFit="1" customWidth="1"/>
  </cols>
  <sheetData>
    <row r="1" spans="1:15">
      <c r="A1" t="s">
        <v>447</v>
      </c>
      <c r="B1" t="s">
        <v>419</v>
      </c>
      <c r="C1" t="s">
        <v>4</v>
      </c>
      <c r="D1" t="s">
        <v>5</v>
      </c>
      <c r="E1" t="s">
        <v>383</v>
      </c>
      <c r="F1" s="10" t="s">
        <v>53</v>
      </c>
      <c r="G1" s="8" t="s">
        <v>52</v>
      </c>
      <c r="H1" s="7" t="s">
        <v>421</v>
      </c>
      <c r="I1" t="s">
        <v>448</v>
      </c>
      <c r="J1" t="s">
        <v>449</v>
      </c>
      <c r="K1" t="s">
        <v>451</v>
      </c>
      <c r="L1" t="s">
        <v>452</v>
      </c>
      <c r="M1" t="s">
        <v>450</v>
      </c>
      <c r="N1" t="s">
        <v>453</v>
      </c>
      <c r="O1" t="s">
        <v>243</v>
      </c>
    </row>
    <row r="2" spans="1:15">
      <c r="A2" t="s">
        <v>454</v>
      </c>
      <c r="B2" s="1">
        <v>38484</v>
      </c>
      <c r="C2">
        <v>5</v>
      </c>
      <c r="D2">
        <v>77</v>
      </c>
      <c r="E2">
        <v>15</v>
      </c>
      <c r="F2">
        <f>K2/$J2/24</f>
        <v>8.4821428571428558E-4</v>
      </c>
      <c r="G2">
        <f>L2/$J2/24</f>
        <v>6.2500000000000001E-4</v>
      </c>
      <c r="H2">
        <f>M2/$J2/24</f>
        <v>2.6785714285714287E-4</v>
      </c>
      <c r="I2">
        <v>30.18</v>
      </c>
      <c r="J2">
        <v>28</v>
      </c>
      <c r="K2">
        <v>0.56999999999999995</v>
      </c>
      <c r="L2">
        <v>0.42</v>
      </c>
      <c r="M2">
        <v>0.18</v>
      </c>
      <c r="N2">
        <v>1.17</v>
      </c>
      <c r="O2">
        <v>0.16</v>
      </c>
    </row>
    <row r="3" spans="1:15">
      <c r="A3" t="s">
        <v>455</v>
      </c>
      <c r="B3" s="1">
        <v>38486</v>
      </c>
      <c r="C3">
        <v>2.5</v>
      </c>
      <c r="D3">
        <v>77</v>
      </c>
      <c r="E3">
        <v>15</v>
      </c>
      <c r="F3">
        <f t="shared" ref="F3:F19" si="0">K3/$J3/24</f>
        <v>5.2469135802469136E-4</v>
      </c>
      <c r="G3">
        <f t="shared" ref="G3:G19" si="1">L3/$J3/24</f>
        <v>5.4012345679012341E-4</v>
      </c>
      <c r="H3">
        <f t="shared" ref="H3:H19" si="2">M3/$J3/24</f>
        <v>1.8518518518518518E-4</v>
      </c>
      <c r="I3">
        <v>29.71</v>
      </c>
      <c r="J3">
        <v>27</v>
      </c>
      <c r="K3">
        <v>0.34</v>
      </c>
      <c r="L3">
        <v>0.35</v>
      </c>
      <c r="M3">
        <v>0.12</v>
      </c>
      <c r="N3">
        <v>0.81</v>
      </c>
      <c r="O3">
        <v>0.15</v>
      </c>
    </row>
    <row r="4" spans="1:15">
      <c r="A4" t="s">
        <v>456</v>
      </c>
      <c r="B4" s="1">
        <v>38488</v>
      </c>
      <c r="C4">
        <v>0</v>
      </c>
      <c r="D4">
        <v>77</v>
      </c>
      <c r="E4">
        <v>15</v>
      </c>
      <c r="F4">
        <f t="shared" si="0"/>
        <v>5.2380952380952383E-4</v>
      </c>
      <c r="G4">
        <f t="shared" si="1"/>
        <v>1.7619047619047621E-3</v>
      </c>
      <c r="H4">
        <f t="shared" si="2"/>
        <v>3.5714285714285714E-4</v>
      </c>
      <c r="I4">
        <v>29.42</v>
      </c>
      <c r="J4">
        <v>35</v>
      </c>
      <c r="K4">
        <v>0.44</v>
      </c>
      <c r="L4">
        <v>1.48</v>
      </c>
      <c r="M4">
        <v>0.3</v>
      </c>
      <c r="N4">
        <v>2.2200000000000002</v>
      </c>
      <c r="O4">
        <v>0.13</v>
      </c>
    </row>
    <row r="5" spans="1:15">
      <c r="A5" t="s">
        <v>457</v>
      </c>
      <c r="B5" s="1">
        <v>38491</v>
      </c>
      <c r="C5">
        <v>-2.5</v>
      </c>
      <c r="D5">
        <v>77</v>
      </c>
      <c r="E5">
        <v>15</v>
      </c>
      <c r="F5">
        <f t="shared" si="0"/>
        <v>3.1250000000000001E-4</v>
      </c>
      <c r="G5">
        <f t="shared" si="1"/>
        <v>6.101190476190476E-4</v>
      </c>
      <c r="H5">
        <f t="shared" si="2"/>
        <v>4.1666666666666669E-4</v>
      </c>
      <c r="I5">
        <v>29.7</v>
      </c>
      <c r="J5">
        <v>28</v>
      </c>
      <c r="K5">
        <v>0.21</v>
      </c>
      <c r="L5">
        <v>0.41</v>
      </c>
      <c r="M5">
        <v>0.28000000000000003</v>
      </c>
      <c r="N5">
        <v>0.9</v>
      </c>
      <c r="O5">
        <v>0.31</v>
      </c>
    </row>
    <row r="6" spans="1:15">
      <c r="A6" t="s">
        <v>458</v>
      </c>
      <c r="B6" s="1">
        <v>38494</v>
      </c>
      <c r="C6">
        <v>-5</v>
      </c>
      <c r="D6">
        <v>77</v>
      </c>
      <c r="E6">
        <v>15</v>
      </c>
      <c r="F6">
        <f t="shared" si="0"/>
        <v>4.7413793103448276E-4</v>
      </c>
      <c r="G6">
        <f t="shared" si="1"/>
        <v>7.6149425287356327E-4</v>
      </c>
      <c r="H6">
        <f t="shared" si="2"/>
        <v>2.0114942528735632E-4</v>
      </c>
      <c r="I6">
        <v>29.66</v>
      </c>
      <c r="J6">
        <v>29</v>
      </c>
      <c r="K6">
        <v>0.33</v>
      </c>
      <c r="L6">
        <v>0.53</v>
      </c>
      <c r="M6">
        <v>0.14000000000000001</v>
      </c>
      <c r="N6">
        <v>1.01</v>
      </c>
      <c r="O6">
        <v>0.14000000000000001</v>
      </c>
    </row>
    <row r="7" spans="1:15">
      <c r="A7" t="s">
        <v>459</v>
      </c>
      <c r="B7" s="1">
        <v>38497</v>
      </c>
      <c r="C7">
        <v>-5</v>
      </c>
      <c r="D7">
        <v>83</v>
      </c>
      <c r="E7">
        <v>15</v>
      </c>
      <c r="F7">
        <f t="shared" si="0"/>
        <v>2.2916666666666666E-4</v>
      </c>
      <c r="G7">
        <f t="shared" si="1"/>
        <v>7.395833333333333E-4</v>
      </c>
      <c r="H7">
        <f t="shared" si="2"/>
        <v>2.1874999999999998E-4</v>
      </c>
      <c r="I7">
        <v>29.45</v>
      </c>
      <c r="J7">
        <v>40</v>
      </c>
      <c r="K7">
        <v>0.22</v>
      </c>
      <c r="L7">
        <v>0.71</v>
      </c>
      <c r="M7">
        <v>0.21</v>
      </c>
      <c r="N7">
        <v>1.1399999999999999</v>
      </c>
      <c r="O7">
        <v>0.18</v>
      </c>
    </row>
    <row r="8" spans="1:15">
      <c r="A8" t="s">
        <v>460</v>
      </c>
      <c r="B8" s="1">
        <v>38499</v>
      </c>
      <c r="C8">
        <v>-2.5</v>
      </c>
      <c r="D8">
        <v>83</v>
      </c>
      <c r="E8">
        <v>15</v>
      </c>
      <c r="F8">
        <f t="shared" si="0"/>
        <v>3.3333333333333332E-4</v>
      </c>
      <c r="G8">
        <f t="shared" si="1"/>
        <v>1.1145833333333335E-3</v>
      </c>
      <c r="H8">
        <f t="shared" si="2"/>
        <v>3.3333333333333332E-4</v>
      </c>
      <c r="I8">
        <v>29.58</v>
      </c>
      <c r="J8">
        <v>40</v>
      </c>
      <c r="K8">
        <v>0.32</v>
      </c>
      <c r="L8">
        <v>1.07</v>
      </c>
      <c r="M8">
        <v>0.32</v>
      </c>
      <c r="N8">
        <v>1.71</v>
      </c>
      <c r="O8">
        <v>0.19</v>
      </c>
    </row>
    <row r="9" spans="1:15">
      <c r="A9" t="s">
        <v>461</v>
      </c>
      <c r="B9" s="1">
        <v>38503</v>
      </c>
      <c r="C9">
        <v>0</v>
      </c>
      <c r="D9">
        <v>83</v>
      </c>
      <c r="E9">
        <v>15</v>
      </c>
      <c r="F9">
        <f t="shared" si="0"/>
        <v>5.8333333333333338E-4</v>
      </c>
      <c r="G9">
        <f t="shared" si="1"/>
        <v>6.6666666666666664E-4</v>
      </c>
      <c r="H9">
        <f t="shared" si="2"/>
        <v>5.8333333333333338E-4</v>
      </c>
      <c r="I9">
        <v>29.87</v>
      </c>
      <c r="J9">
        <v>15</v>
      </c>
      <c r="K9">
        <v>0.21</v>
      </c>
      <c r="L9">
        <v>0.24</v>
      </c>
      <c r="M9">
        <v>0.21</v>
      </c>
      <c r="N9">
        <v>0.66</v>
      </c>
      <c r="O9">
        <v>0.32</v>
      </c>
    </row>
    <row r="10" spans="1:15">
      <c r="A10" t="s">
        <v>462</v>
      </c>
      <c r="B10" s="1">
        <v>38506</v>
      </c>
      <c r="C10">
        <v>3</v>
      </c>
      <c r="D10">
        <v>83</v>
      </c>
      <c r="E10">
        <v>15</v>
      </c>
      <c r="F10">
        <f t="shared" si="0"/>
        <v>7.6241134751773047E-4</v>
      </c>
      <c r="G10">
        <f t="shared" si="1"/>
        <v>4.6985815602836885E-4</v>
      </c>
      <c r="H10">
        <f t="shared" si="2"/>
        <v>7.4468085106382982E-4</v>
      </c>
      <c r="I10">
        <v>29.28</v>
      </c>
      <c r="J10">
        <v>47</v>
      </c>
      <c r="K10">
        <v>0.86</v>
      </c>
      <c r="L10">
        <v>0.53</v>
      </c>
      <c r="M10">
        <v>0.84</v>
      </c>
      <c r="N10">
        <v>2.23</v>
      </c>
      <c r="O10">
        <v>0.38</v>
      </c>
    </row>
    <row r="11" spans="1:15">
      <c r="A11" t="s">
        <v>463</v>
      </c>
      <c r="B11" s="1">
        <v>38507</v>
      </c>
      <c r="C11">
        <v>5</v>
      </c>
      <c r="D11">
        <v>83</v>
      </c>
      <c r="E11">
        <v>15</v>
      </c>
      <c r="F11">
        <f t="shared" si="0"/>
        <v>4.4047619047619051E-4</v>
      </c>
      <c r="G11">
        <f t="shared" si="1"/>
        <v>5.5952380952380956E-4</v>
      </c>
      <c r="H11">
        <f t="shared" si="2"/>
        <v>6.5476190476190484E-4</v>
      </c>
      <c r="I11">
        <v>29.05</v>
      </c>
      <c r="J11">
        <v>35</v>
      </c>
      <c r="K11">
        <v>0.37</v>
      </c>
      <c r="L11">
        <v>0.47</v>
      </c>
      <c r="M11">
        <v>0.55000000000000004</v>
      </c>
      <c r="N11">
        <v>1.4</v>
      </c>
      <c r="O11">
        <v>0.4</v>
      </c>
    </row>
    <row r="12" spans="1:15">
      <c r="A12" t="s">
        <v>464</v>
      </c>
      <c r="B12" s="1">
        <v>38772</v>
      </c>
      <c r="C12">
        <v>-69</v>
      </c>
      <c r="D12">
        <v>76</v>
      </c>
      <c r="E12">
        <v>15</v>
      </c>
      <c r="F12">
        <f t="shared" si="0"/>
        <v>4.7413793103448275E-3</v>
      </c>
      <c r="G12">
        <f t="shared" si="1"/>
        <v>1.8247126436781609E-3</v>
      </c>
      <c r="H12">
        <f t="shared" si="2"/>
        <v>1.1063218390804598E-2</v>
      </c>
      <c r="I12">
        <v>-1.7</v>
      </c>
      <c r="J12">
        <v>29</v>
      </c>
      <c r="K12">
        <v>3.3</v>
      </c>
      <c r="L12">
        <v>1.27</v>
      </c>
      <c r="M12">
        <v>7.7</v>
      </c>
      <c r="N12">
        <v>7.7</v>
      </c>
      <c r="O12">
        <v>155</v>
      </c>
    </row>
    <row r="13" spans="1:15">
      <c r="A13" t="s">
        <v>465</v>
      </c>
      <c r="B13" s="1">
        <v>38779</v>
      </c>
      <c r="C13">
        <v>-65</v>
      </c>
      <c r="D13">
        <v>56.3</v>
      </c>
      <c r="E13">
        <v>15</v>
      </c>
      <c r="F13">
        <f t="shared" si="0"/>
        <v>2.2500000000000002E-4</v>
      </c>
      <c r="G13">
        <f t="shared" si="1"/>
        <v>3.1666666666666665E-4</v>
      </c>
      <c r="H13">
        <f t="shared" si="2"/>
        <v>4.1666666666666669E-4</v>
      </c>
      <c r="I13">
        <v>-0.9</v>
      </c>
      <c r="J13">
        <v>100</v>
      </c>
      <c r="K13">
        <v>0.54</v>
      </c>
      <c r="L13">
        <v>0.76</v>
      </c>
      <c r="M13">
        <v>1</v>
      </c>
      <c r="N13">
        <v>1</v>
      </c>
      <c r="O13">
        <v>98</v>
      </c>
    </row>
    <row r="14" spans="1:15">
      <c r="A14" t="s">
        <v>466</v>
      </c>
      <c r="B14" s="1">
        <v>38782</v>
      </c>
      <c r="C14">
        <v>-58</v>
      </c>
      <c r="D14">
        <v>50</v>
      </c>
      <c r="E14">
        <v>15</v>
      </c>
      <c r="F14">
        <f t="shared" si="0"/>
        <v>2.4166666666666664E-4</v>
      </c>
      <c r="G14">
        <f t="shared" si="1"/>
        <v>9.1666666666666668E-5</v>
      </c>
      <c r="H14">
        <f t="shared" si="2"/>
        <v>3.8333333333333334E-4</v>
      </c>
      <c r="I14">
        <v>0.4</v>
      </c>
      <c r="J14">
        <v>100</v>
      </c>
      <c r="K14">
        <v>0.57999999999999996</v>
      </c>
      <c r="L14">
        <v>0.22</v>
      </c>
      <c r="M14">
        <v>0.92</v>
      </c>
      <c r="N14">
        <v>0.92</v>
      </c>
      <c r="O14">
        <v>99</v>
      </c>
    </row>
    <row r="15" spans="1:15">
      <c r="A15" t="s">
        <v>467</v>
      </c>
      <c r="B15" s="1">
        <v>38789</v>
      </c>
      <c r="C15">
        <v>-43</v>
      </c>
      <c r="D15">
        <v>48</v>
      </c>
      <c r="E15">
        <v>15</v>
      </c>
      <c r="F15">
        <f t="shared" si="0"/>
        <v>4.5833333333333332E-4</v>
      </c>
      <c r="G15">
        <f t="shared" si="1"/>
        <v>2.2222222222222221E-4</v>
      </c>
      <c r="H15">
        <f t="shared" si="2"/>
        <v>7.314814814814815E-4</v>
      </c>
      <c r="I15">
        <v>11</v>
      </c>
      <c r="J15">
        <v>90</v>
      </c>
      <c r="K15">
        <v>0.99</v>
      </c>
      <c r="L15">
        <v>0.48</v>
      </c>
      <c r="M15">
        <v>1.58</v>
      </c>
      <c r="N15">
        <v>1.58</v>
      </c>
      <c r="O15">
        <v>144</v>
      </c>
    </row>
    <row r="16" spans="1:15">
      <c r="A16" t="s">
        <v>468</v>
      </c>
      <c r="B16" s="1">
        <v>38791</v>
      </c>
      <c r="C16">
        <v>-40</v>
      </c>
      <c r="D16">
        <v>48</v>
      </c>
      <c r="E16">
        <v>15</v>
      </c>
      <c r="F16">
        <f t="shared" si="0"/>
        <v>1.0541666666666666E-3</v>
      </c>
      <c r="G16">
        <f t="shared" si="1"/>
        <v>6.9999999999999999E-4</v>
      </c>
      <c r="H16">
        <f t="shared" si="2"/>
        <v>2.5208333333333333E-3</v>
      </c>
      <c r="I16">
        <v>19.5</v>
      </c>
      <c r="J16">
        <v>100</v>
      </c>
      <c r="K16">
        <v>2.5299999999999998</v>
      </c>
      <c r="L16">
        <v>1.68</v>
      </c>
      <c r="M16">
        <v>6.05</v>
      </c>
      <c r="N16">
        <v>6.05</v>
      </c>
      <c r="O16">
        <v>47</v>
      </c>
    </row>
    <row r="17" spans="1:15">
      <c r="A17" t="s">
        <v>469</v>
      </c>
      <c r="B17" s="1">
        <v>38793</v>
      </c>
      <c r="C17">
        <v>-35</v>
      </c>
      <c r="D17">
        <v>48</v>
      </c>
      <c r="E17">
        <v>15</v>
      </c>
      <c r="F17">
        <f t="shared" si="0"/>
        <v>5.8333333333333338E-4</v>
      </c>
      <c r="G17">
        <f t="shared" si="1"/>
        <v>3.2971014492753627E-4</v>
      </c>
      <c r="H17">
        <f t="shared" si="2"/>
        <v>3.4782608695652171E-4</v>
      </c>
      <c r="I17">
        <v>21.2</v>
      </c>
      <c r="J17">
        <v>115</v>
      </c>
      <c r="K17">
        <v>1.61</v>
      </c>
      <c r="L17">
        <v>0.91</v>
      </c>
      <c r="M17">
        <v>0.96</v>
      </c>
      <c r="N17">
        <v>0.96</v>
      </c>
      <c r="O17">
        <v>46</v>
      </c>
    </row>
    <row r="18" spans="1:15">
      <c r="A18" t="s">
        <v>470</v>
      </c>
      <c r="B18" s="1">
        <v>38750</v>
      </c>
      <c r="C18">
        <v>-7.5</v>
      </c>
      <c r="D18">
        <v>61</v>
      </c>
      <c r="E18">
        <v>15</v>
      </c>
      <c r="F18">
        <f t="shared" si="0"/>
        <v>9.3749999999999997E-4</v>
      </c>
      <c r="G18">
        <f t="shared" si="1"/>
        <v>4.3682795698924733E-4</v>
      </c>
      <c r="H18">
        <f t="shared" si="2"/>
        <v>1.1256720430107526E-3</v>
      </c>
      <c r="I18">
        <v>28.2</v>
      </c>
      <c r="J18">
        <v>124</v>
      </c>
      <c r="K18">
        <v>2.79</v>
      </c>
      <c r="L18">
        <v>1.3</v>
      </c>
      <c r="M18">
        <v>3.35</v>
      </c>
      <c r="N18">
        <v>3.35</v>
      </c>
      <c r="O18">
        <v>63</v>
      </c>
    </row>
    <row r="19" spans="1:15">
      <c r="A19" t="s">
        <v>471</v>
      </c>
      <c r="B19" s="1">
        <v>38747</v>
      </c>
      <c r="C19">
        <v>0</v>
      </c>
      <c r="D19">
        <v>64</v>
      </c>
      <c r="E19">
        <v>15</v>
      </c>
      <c r="F19">
        <f t="shared" si="0"/>
        <v>9.3077956989247312E-4</v>
      </c>
      <c r="G19">
        <f t="shared" si="1"/>
        <v>6.2500000000000001E-4</v>
      </c>
      <c r="H19">
        <f t="shared" si="2"/>
        <v>1.3071236559139786E-3</v>
      </c>
      <c r="I19">
        <v>28.9</v>
      </c>
      <c r="J19">
        <v>124</v>
      </c>
      <c r="K19">
        <v>2.77</v>
      </c>
      <c r="L19">
        <v>1.86</v>
      </c>
      <c r="M19">
        <v>3.89</v>
      </c>
      <c r="N19">
        <v>3.89</v>
      </c>
      <c r="O19">
        <v>92</v>
      </c>
    </row>
  </sheetData>
  <phoneticPr fontId="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E6D4-5E70-0E40-84C4-794B2A515ACE}">
  <dimension ref="A1:O69"/>
  <sheetViews>
    <sheetView workbookViewId="0">
      <selection activeCell="G31" sqref="G31"/>
    </sheetView>
  </sheetViews>
  <sheetFormatPr baseColWidth="10" defaultRowHeight="20"/>
  <cols>
    <col min="2" max="2" width="12.140625" style="1" bestFit="1" customWidth="1"/>
  </cols>
  <sheetData>
    <row r="1" spans="1:15">
      <c r="A1" s="80" t="s">
        <v>615</v>
      </c>
      <c r="B1" s="84" t="s">
        <v>419</v>
      </c>
      <c r="C1" t="s">
        <v>4</v>
      </c>
      <c r="D1" t="s">
        <v>5</v>
      </c>
      <c r="E1" t="s">
        <v>444</v>
      </c>
      <c r="F1" t="s">
        <v>383</v>
      </c>
      <c r="G1" s="10" t="s">
        <v>53</v>
      </c>
      <c r="H1" s="8" t="s">
        <v>52</v>
      </c>
      <c r="I1" s="7" t="s">
        <v>421</v>
      </c>
      <c r="J1" s="80" t="s">
        <v>604</v>
      </c>
      <c r="K1" s="80" t="s">
        <v>605</v>
      </c>
      <c r="L1" s="80" t="s">
        <v>607</v>
      </c>
      <c r="M1" s="80" t="s">
        <v>608</v>
      </c>
      <c r="N1" s="80" t="s">
        <v>606</v>
      </c>
      <c r="O1" s="81" t="s">
        <v>609</v>
      </c>
    </row>
    <row r="2" spans="1:15">
      <c r="A2" s="82" t="s">
        <v>610</v>
      </c>
      <c r="B2" s="85">
        <v>39632</v>
      </c>
      <c r="C2">
        <v>49.119</v>
      </c>
      <c r="D2">
        <v>-126.691</v>
      </c>
      <c r="E2">
        <v>79</v>
      </c>
      <c r="F2">
        <v>39.5</v>
      </c>
      <c r="G2">
        <v>7.8987341772151901E-2</v>
      </c>
      <c r="H2">
        <v>0.20632911392405065</v>
      </c>
      <c r="I2">
        <v>0.27594936708860762</v>
      </c>
      <c r="J2" s="82">
        <v>47.4</v>
      </c>
      <c r="K2" s="82">
        <v>6182</v>
      </c>
      <c r="L2">
        <v>6.24</v>
      </c>
      <c r="M2" s="82">
        <v>16.3</v>
      </c>
      <c r="N2" s="82">
        <v>21.8</v>
      </c>
      <c r="O2">
        <v>0.49</v>
      </c>
    </row>
    <row r="3" spans="1:15">
      <c r="A3" s="82" t="s">
        <v>611</v>
      </c>
      <c r="B3" s="85">
        <v>39297</v>
      </c>
      <c r="C3">
        <v>71.402000000000001</v>
      </c>
      <c r="D3">
        <v>-152.047</v>
      </c>
      <c r="E3">
        <v>49</v>
      </c>
      <c r="F3">
        <v>24.5</v>
      </c>
      <c r="G3">
        <v>5.591836734693878E-2</v>
      </c>
      <c r="H3">
        <v>0.17204081632653059</v>
      </c>
      <c r="I3">
        <v>5.7551020408163261E-2</v>
      </c>
      <c r="J3" s="82">
        <v>9.1999999999999993</v>
      </c>
      <c r="K3" s="82">
        <v>195</v>
      </c>
      <c r="L3" s="82">
        <v>2.74</v>
      </c>
      <c r="M3" s="82">
        <v>8.43</v>
      </c>
      <c r="N3" s="82">
        <v>2.82</v>
      </c>
      <c r="O3" s="82">
        <v>0.2</v>
      </c>
    </row>
    <row r="4" spans="1:15">
      <c r="A4" s="82" t="s">
        <v>612</v>
      </c>
      <c r="B4" s="85">
        <v>39683</v>
      </c>
      <c r="C4">
        <v>71.325000000000003</v>
      </c>
      <c r="D4">
        <v>-152.21799999999999</v>
      </c>
      <c r="E4">
        <v>50</v>
      </c>
      <c r="F4">
        <v>25</v>
      </c>
      <c r="G4">
        <v>2.5399999999999999E-2</v>
      </c>
      <c r="H4">
        <v>6.0599999999999994E-2</v>
      </c>
      <c r="I4">
        <v>9.8800000000000013E-2</v>
      </c>
      <c r="J4" s="82">
        <v>48.3</v>
      </c>
      <c r="K4" s="82">
        <v>135</v>
      </c>
      <c r="L4" s="82">
        <v>1.27</v>
      </c>
      <c r="M4" s="82">
        <v>3.03</v>
      </c>
      <c r="N4" s="82">
        <v>4.9400000000000004</v>
      </c>
      <c r="O4" s="82">
        <v>0.53</v>
      </c>
    </row>
    <row r="5" spans="1:15">
      <c r="A5" s="82" t="s">
        <v>613</v>
      </c>
      <c r="B5" s="85">
        <v>39291</v>
      </c>
      <c r="C5">
        <v>70.546999999999997</v>
      </c>
      <c r="D5">
        <v>-122.898</v>
      </c>
      <c r="E5">
        <v>85</v>
      </c>
      <c r="F5">
        <v>42.5</v>
      </c>
      <c r="G5">
        <v>4.2941176470588233E-2</v>
      </c>
      <c r="H5">
        <v>9.4235294117647056E-2</v>
      </c>
      <c r="I5">
        <v>2.5411764705882356E-2</v>
      </c>
      <c r="J5" s="82">
        <v>14</v>
      </c>
      <c r="K5" s="82">
        <v>233</v>
      </c>
      <c r="L5" s="82">
        <v>3.65</v>
      </c>
      <c r="M5" s="82">
        <v>8.01</v>
      </c>
      <c r="N5" s="82">
        <v>2.16</v>
      </c>
      <c r="O5" s="82">
        <v>0.16</v>
      </c>
    </row>
    <row r="6" spans="1:15">
      <c r="A6" s="82" t="s">
        <v>614</v>
      </c>
      <c r="B6" s="85">
        <v>39656</v>
      </c>
      <c r="C6">
        <v>70.545000000000002</v>
      </c>
      <c r="D6">
        <v>-122.545</v>
      </c>
      <c r="E6">
        <v>60</v>
      </c>
      <c r="F6">
        <v>30</v>
      </c>
      <c r="G6">
        <v>6.5500000000000003E-2</v>
      </c>
      <c r="H6">
        <v>0.14283333333333334</v>
      </c>
      <c r="I6">
        <v>2.1166666666666667E-2</v>
      </c>
      <c r="J6" s="82">
        <v>82.4</v>
      </c>
      <c r="K6" s="82">
        <v>14.4</v>
      </c>
      <c r="L6" s="82">
        <v>3.93</v>
      </c>
      <c r="M6" s="82">
        <v>8.57</v>
      </c>
      <c r="N6" s="82">
        <v>1.27</v>
      </c>
      <c r="O6" s="82">
        <v>0.09</v>
      </c>
    </row>
    <row r="11" spans="1:15">
      <c r="A11" s="80"/>
      <c r="B11" s="80"/>
      <c r="C11" s="80"/>
      <c r="D11" s="80"/>
      <c r="E11" s="80"/>
      <c r="F11" s="83"/>
      <c r="G11" s="83"/>
      <c r="H11" s="83"/>
      <c r="I11" s="83"/>
    </row>
    <row r="12" spans="1:15">
      <c r="A12" s="82"/>
      <c r="B12" s="86"/>
      <c r="C12" s="82"/>
      <c r="D12" s="82"/>
      <c r="E12" s="82"/>
      <c r="F12" s="82"/>
      <c r="G12" s="82"/>
      <c r="H12" s="82"/>
      <c r="I12" s="82"/>
    </row>
    <row r="13" spans="1:15">
      <c r="A13" s="82"/>
      <c r="B13" s="86"/>
      <c r="C13" s="82"/>
      <c r="D13" s="82"/>
      <c r="E13" s="82"/>
      <c r="F13" s="82"/>
      <c r="G13" s="82"/>
      <c r="H13" s="82"/>
      <c r="I13" s="82"/>
    </row>
    <row r="14" spans="1:15">
      <c r="A14" s="82"/>
      <c r="B14" s="86"/>
      <c r="C14" s="82"/>
      <c r="D14" s="82"/>
      <c r="E14" s="82"/>
      <c r="F14" s="82"/>
      <c r="G14" s="82"/>
      <c r="H14" s="82"/>
      <c r="I14" s="82"/>
    </row>
    <row r="15" spans="1:15">
      <c r="A15" s="82"/>
      <c r="B15" s="86"/>
      <c r="C15" s="82"/>
      <c r="D15" s="82"/>
      <c r="E15" s="82"/>
      <c r="F15" s="82"/>
      <c r="G15" s="82"/>
      <c r="H15" s="82"/>
      <c r="I15" s="82"/>
    </row>
    <row r="16" spans="1:15">
      <c r="A16" s="82"/>
      <c r="B16" s="86"/>
      <c r="C16" s="82"/>
      <c r="D16" s="82"/>
      <c r="E16" s="82"/>
      <c r="F16" s="82"/>
      <c r="G16" s="82"/>
      <c r="H16" s="82"/>
      <c r="I16" s="82"/>
    </row>
    <row r="17" spans="1:9">
      <c r="A17" s="82"/>
      <c r="B17" s="86"/>
      <c r="C17" s="82"/>
      <c r="D17" s="82"/>
      <c r="E17" s="82"/>
      <c r="F17" s="82"/>
      <c r="G17" s="82"/>
      <c r="H17" s="82"/>
      <c r="I17" s="82"/>
    </row>
    <row r="18" spans="1:9">
      <c r="A18" s="82"/>
      <c r="B18" s="86"/>
      <c r="C18" s="82"/>
      <c r="D18" s="82"/>
      <c r="E18" s="82"/>
      <c r="F18" s="82"/>
      <c r="G18" s="82"/>
      <c r="H18" s="82"/>
      <c r="I18" s="82"/>
    </row>
    <row r="19" spans="1:9">
      <c r="A19" s="82"/>
      <c r="B19" s="86"/>
      <c r="C19" s="82"/>
      <c r="D19" s="82"/>
      <c r="E19" s="82"/>
      <c r="F19" s="82"/>
      <c r="G19" s="82"/>
      <c r="H19" s="82"/>
      <c r="I19" s="82"/>
    </row>
    <row r="20" spans="1:9">
      <c r="A20" s="82"/>
      <c r="B20" s="86"/>
      <c r="C20" s="82"/>
      <c r="D20" s="82"/>
      <c r="E20" s="82"/>
      <c r="F20" s="82"/>
      <c r="G20" s="82"/>
      <c r="H20" s="82"/>
      <c r="I20" s="82"/>
    </row>
    <row r="21" spans="1:9">
      <c r="A21" s="82"/>
      <c r="B21" s="86"/>
      <c r="C21" s="82"/>
      <c r="D21" s="82"/>
      <c r="E21" s="82"/>
      <c r="F21" s="82"/>
      <c r="G21" s="82"/>
      <c r="H21" s="82"/>
      <c r="I21" s="82"/>
    </row>
    <row r="22" spans="1:9">
      <c r="A22" s="82"/>
      <c r="B22" s="86"/>
      <c r="C22" s="82"/>
      <c r="D22" s="82"/>
      <c r="E22" s="82"/>
      <c r="F22" s="82"/>
      <c r="G22" s="82"/>
      <c r="H22" s="82"/>
      <c r="I22" s="82"/>
    </row>
    <row r="23" spans="1:9">
      <c r="A23" s="82"/>
      <c r="B23" s="86"/>
      <c r="C23" s="82"/>
      <c r="D23" s="82"/>
      <c r="E23" s="82"/>
      <c r="F23" s="82"/>
      <c r="G23" s="82"/>
      <c r="H23" s="82"/>
      <c r="I23" s="82"/>
    </row>
    <row r="24" spans="1:9">
      <c r="A24" s="82"/>
      <c r="B24" s="86"/>
      <c r="C24" s="82"/>
      <c r="D24" s="82"/>
      <c r="E24" s="82"/>
      <c r="F24" s="82"/>
      <c r="G24" s="82"/>
      <c r="H24" s="82"/>
      <c r="I24" s="82"/>
    </row>
    <row r="25" spans="1:9">
      <c r="A25" s="82"/>
      <c r="B25" s="86"/>
      <c r="C25" s="82"/>
      <c r="D25" s="82"/>
      <c r="E25" s="82"/>
      <c r="F25" s="82"/>
      <c r="G25" s="82"/>
      <c r="H25" s="82"/>
      <c r="I25" s="82"/>
    </row>
    <row r="26" spans="1:9">
      <c r="A26" s="82"/>
      <c r="B26" s="86"/>
      <c r="C26" s="82"/>
      <c r="D26" s="82"/>
      <c r="E26" s="82"/>
      <c r="F26" s="82"/>
      <c r="G26" s="82"/>
      <c r="H26" s="82"/>
      <c r="I26" s="82"/>
    </row>
    <row r="27" spans="1:9">
      <c r="A27" s="82"/>
      <c r="B27" s="86"/>
      <c r="C27" s="82"/>
      <c r="D27" s="82"/>
      <c r="E27" s="82"/>
      <c r="F27" s="82"/>
      <c r="G27" s="82"/>
      <c r="H27" s="82"/>
      <c r="I27" s="82"/>
    </row>
    <row r="28" spans="1:9">
      <c r="A28" s="82"/>
      <c r="B28" s="86"/>
      <c r="C28" s="82"/>
      <c r="D28" s="82"/>
      <c r="E28" s="82"/>
      <c r="F28" s="82"/>
      <c r="G28" s="82"/>
      <c r="H28" s="82"/>
      <c r="I28" s="82"/>
    </row>
    <row r="29" spans="1:9">
      <c r="A29" s="82"/>
      <c r="B29" s="86"/>
      <c r="C29" s="82"/>
      <c r="D29" s="82"/>
      <c r="E29" s="82"/>
      <c r="F29" s="82"/>
      <c r="G29" s="82"/>
      <c r="H29" s="82"/>
      <c r="I29" s="82"/>
    </row>
    <row r="30" spans="1:9">
      <c r="A30" s="82"/>
      <c r="B30" s="86"/>
      <c r="C30" s="82"/>
      <c r="D30" s="82"/>
      <c r="E30" s="82"/>
      <c r="F30" s="82"/>
      <c r="G30" s="82"/>
      <c r="H30" s="82"/>
      <c r="I30" s="82"/>
    </row>
    <row r="31" spans="1:9">
      <c r="A31" s="82"/>
      <c r="B31" s="86"/>
      <c r="C31" s="82"/>
      <c r="D31" s="82"/>
      <c r="E31" s="82"/>
      <c r="F31" s="82"/>
      <c r="G31" s="82"/>
      <c r="H31" s="82"/>
      <c r="I31" s="82"/>
    </row>
    <row r="32" spans="1:9">
      <c r="A32" s="82"/>
      <c r="B32" s="86"/>
      <c r="C32" s="82"/>
      <c r="D32" s="82"/>
      <c r="E32" s="82"/>
      <c r="F32" s="82"/>
      <c r="G32" s="82"/>
      <c r="H32" s="82"/>
      <c r="I32" s="82"/>
    </row>
    <row r="33" spans="1:9">
      <c r="A33" s="82"/>
      <c r="B33" s="86"/>
      <c r="C33" s="82"/>
      <c r="D33" s="82"/>
      <c r="E33" s="82"/>
      <c r="F33" s="82"/>
      <c r="G33" s="82"/>
      <c r="H33" s="82"/>
      <c r="I33" s="82"/>
    </row>
    <row r="34" spans="1:9">
      <c r="A34" s="82"/>
      <c r="B34" s="86"/>
      <c r="C34" s="82"/>
      <c r="D34" s="82"/>
      <c r="E34" s="82"/>
      <c r="F34" s="82"/>
      <c r="G34" s="82"/>
      <c r="H34" s="82"/>
      <c r="I34" s="82"/>
    </row>
    <row r="35" spans="1:9">
      <c r="A35" s="82"/>
      <c r="B35" s="86"/>
      <c r="C35" s="82"/>
      <c r="D35" s="82"/>
      <c r="E35" s="82"/>
      <c r="F35" s="82"/>
      <c r="G35" s="82"/>
      <c r="H35" s="82"/>
      <c r="I35" s="82"/>
    </row>
    <row r="36" spans="1:9">
      <c r="A36" s="82"/>
      <c r="B36" s="86"/>
      <c r="C36" s="82"/>
      <c r="D36" s="82"/>
      <c r="E36" s="82"/>
      <c r="F36" s="82"/>
      <c r="G36" s="82"/>
      <c r="H36" s="82"/>
      <c r="I36" s="82"/>
    </row>
    <row r="37" spans="1:9">
      <c r="A37" s="82"/>
      <c r="B37" s="86"/>
      <c r="C37" s="82"/>
      <c r="D37" s="82"/>
      <c r="E37" s="82"/>
      <c r="F37" s="82"/>
      <c r="G37" s="82"/>
      <c r="H37" s="82"/>
      <c r="I37" s="82"/>
    </row>
    <row r="38" spans="1:9">
      <c r="A38" s="82"/>
      <c r="B38" s="86"/>
      <c r="C38" s="82"/>
      <c r="D38" s="82"/>
      <c r="E38" s="82"/>
      <c r="F38" s="82"/>
      <c r="G38" s="82"/>
      <c r="H38" s="82"/>
      <c r="I38" s="82"/>
    </row>
    <row r="39" spans="1:9">
      <c r="A39" s="82"/>
      <c r="B39" s="86"/>
      <c r="C39" s="82"/>
      <c r="D39" s="82"/>
      <c r="E39" s="82"/>
      <c r="F39" s="82"/>
      <c r="G39" s="82"/>
      <c r="H39" s="82"/>
      <c r="I39" s="82"/>
    </row>
    <row r="40" spans="1:9">
      <c r="A40" s="82"/>
      <c r="B40" s="86"/>
      <c r="C40" s="82"/>
      <c r="D40" s="82"/>
      <c r="E40" s="82"/>
      <c r="F40" s="82"/>
      <c r="G40" s="82"/>
      <c r="H40" s="82"/>
      <c r="I40" s="82"/>
    </row>
    <row r="41" spans="1:9">
      <c r="A41" s="82"/>
      <c r="B41" s="86"/>
      <c r="C41" s="82"/>
      <c r="D41" s="82"/>
      <c r="E41" s="82"/>
      <c r="F41" s="82"/>
      <c r="G41" s="82"/>
      <c r="H41" s="82"/>
      <c r="I41" s="82"/>
    </row>
    <row r="42" spans="1:9">
      <c r="A42" s="82"/>
      <c r="B42" s="86"/>
      <c r="C42" s="82"/>
      <c r="D42" s="82"/>
      <c r="E42" s="82"/>
      <c r="F42" s="82"/>
      <c r="G42" s="82"/>
      <c r="H42" s="82"/>
      <c r="I42" s="82"/>
    </row>
    <row r="43" spans="1:9">
      <c r="A43" s="87"/>
      <c r="B43" s="86"/>
      <c r="C43" s="82"/>
      <c r="D43" s="82"/>
      <c r="E43" s="82"/>
      <c r="F43" s="82"/>
      <c r="G43" s="82"/>
      <c r="H43" s="82"/>
      <c r="I43" s="82"/>
    </row>
    <row r="44" spans="1:9">
      <c r="A44" s="82"/>
      <c r="B44" s="86"/>
      <c r="C44" s="82"/>
      <c r="D44" s="82"/>
      <c r="E44" s="82"/>
      <c r="F44" s="82"/>
      <c r="G44" s="82"/>
      <c r="H44" s="82"/>
      <c r="I44" s="82"/>
    </row>
    <row r="45" spans="1:9">
      <c r="A45" s="82"/>
      <c r="B45" s="86"/>
      <c r="C45" s="82"/>
      <c r="D45" s="82"/>
      <c r="E45" s="82"/>
      <c r="F45" s="82"/>
      <c r="G45" s="82"/>
      <c r="H45" s="82"/>
      <c r="I45" s="82"/>
    </row>
    <row r="46" spans="1:9">
      <c r="A46" s="82"/>
      <c r="B46" s="86"/>
      <c r="C46" s="82"/>
      <c r="D46" s="82"/>
      <c r="E46" s="82"/>
      <c r="F46" s="82"/>
      <c r="G46" s="82"/>
      <c r="H46" s="82"/>
      <c r="I46" s="82"/>
    </row>
    <row r="47" spans="1:9">
      <c r="A47" s="82"/>
      <c r="B47" s="86"/>
      <c r="C47" s="82"/>
      <c r="D47" s="82"/>
      <c r="E47" s="82"/>
      <c r="F47" s="82"/>
      <c r="G47" s="82"/>
      <c r="H47" s="82"/>
      <c r="I47" s="82"/>
    </row>
    <row r="48" spans="1:9">
      <c r="A48" s="82"/>
      <c r="B48" s="86"/>
      <c r="C48" s="82"/>
      <c r="D48" s="82"/>
      <c r="E48" s="82"/>
      <c r="F48" s="82"/>
      <c r="G48" s="82"/>
      <c r="H48" s="82"/>
      <c r="I48" s="82"/>
    </row>
    <row r="49" spans="1:9">
      <c r="A49" s="82"/>
      <c r="B49" s="86"/>
      <c r="C49" s="82"/>
      <c r="D49" s="82"/>
      <c r="E49" s="82"/>
      <c r="F49" s="82"/>
      <c r="G49" s="82"/>
      <c r="H49" s="82"/>
      <c r="I49" s="82"/>
    </row>
    <row r="50" spans="1:9">
      <c r="A50" s="82"/>
      <c r="B50" s="86"/>
      <c r="C50" s="82"/>
      <c r="D50" s="82"/>
      <c r="E50" s="82"/>
      <c r="F50" s="82"/>
      <c r="G50" s="82"/>
      <c r="H50" s="82"/>
      <c r="I50" s="82"/>
    </row>
    <row r="51" spans="1:9">
      <c r="A51" s="82"/>
      <c r="B51" s="86"/>
      <c r="C51" s="82"/>
      <c r="D51" s="82"/>
      <c r="E51" s="82"/>
      <c r="F51" s="82"/>
      <c r="G51" s="82"/>
      <c r="H51" s="82"/>
      <c r="I51" s="82"/>
    </row>
    <row r="52" spans="1:9">
      <c r="A52" s="82"/>
      <c r="B52" s="86"/>
      <c r="C52" s="82"/>
      <c r="D52" s="82"/>
      <c r="E52" s="82"/>
      <c r="F52" s="82"/>
      <c r="G52" s="82"/>
      <c r="H52" s="82"/>
      <c r="I52" s="82"/>
    </row>
    <row r="53" spans="1:9">
      <c r="A53" s="82"/>
      <c r="B53" s="86"/>
      <c r="C53" s="82"/>
      <c r="D53" s="82"/>
      <c r="E53" s="82"/>
      <c r="F53" s="82"/>
      <c r="G53" s="82"/>
      <c r="H53" s="82"/>
      <c r="I53" s="82"/>
    </row>
    <row r="54" spans="1:9">
      <c r="A54" s="82"/>
      <c r="B54" s="86"/>
      <c r="C54" s="82"/>
      <c r="D54" s="82"/>
      <c r="E54" s="82"/>
      <c r="F54" s="82"/>
      <c r="G54" s="82"/>
      <c r="H54" s="82"/>
      <c r="I54" s="82"/>
    </row>
    <row r="55" spans="1:9">
      <c r="A55" s="82"/>
      <c r="B55" s="86"/>
      <c r="C55" s="82"/>
      <c r="D55" s="82"/>
      <c r="E55" s="82"/>
      <c r="F55" s="82"/>
      <c r="G55" s="82"/>
      <c r="H55" s="82"/>
      <c r="I55" s="82"/>
    </row>
    <row r="56" spans="1:9">
      <c r="A56" s="82"/>
      <c r="B56" s="86"/>
      <c r="C56" s="82"/>
      <c r="D56" s="82"/>
      <c r="E56" s="82"/>
      <c r="F56" s="82"/>
      <c r="G56" s="82"/>
      <c r="H56" s="82"/>
      <c r="I56" s="82"/>
    </row>
    <row r="57" spans="1:9">
      <c r="A57" s="82"/>
      <c r="B57" s="86"/>
      <c r="C57" s="82"/>
      <c r="D57" s="82"/>
      <c r="E57" s="82"/>
      <c r="F57" s="82"/>
      <c r="G57" s="82"/>
      <c r="H57" s="82"/>
      <c r="I57" s="82"/>
    </row>
    <row r="58" spans="1:9">
      <c r="A58" s="82"/>
      <c r="B58" s="86"/>
      <c r="C58" s="82"/>
      <c r="D58" s="82"/>
      <c r="E58" s="82"/>
      <c r="F58" s="82"/>
      <c r="G58" s="82"/>
      <c r="H58" s="82"/>
      <c r="I58" s="82"/>
    </row>
    <row r="59" spans="1:9">
      <c r="A59" s="82"/>
      <c r="B59" s="86"/>
      <c r="C59" s="82"/>
      <c r="D59" s="82"/>
      <c r="E59" s="82"/>
      <c r="F59" s="82"/>
      <c r="G59" s="82"/>
      <c r="H59" s="82"/>
      <c r="I59" s="82"/>
    </row>
    <row r="60" spans="1:9">
      <c r="A60" s="82"/>
      <c r="B60" s="86"/>
      <c r="C60" s="82"/>
      <c r="D60" s="82"/>
      <c r="E60" s="82"/>
      <c r="F60" s="82"/>
      <c r="G60" s="82"/>
      <c r="H60" s="82"/>
      <c r="I60" s="82"/>
    </row>
    <row r="61" spans="1:9">
      <c r="A61" s="82"/>
      <c r="B61" s="86"/>
      <c r="C61" s="82"/>
      <c r="D61" s="82"/>
      <c r="E61" s="82"/>
      <c r="F61" s="82"/>
      <c r="G61" s="82"/>
      <c r="H61" s="82"/>
      <c r="I61" s="82"/>
    </row>
    <row r="62" spans="1:9">
      <c r="A62" s="82"/>
      <c r="B62" s="86"/>
      <c r="C62" s="82"/>
      <c r="D62" s="82"/>
      <c r="E62" s="82"/>
      <c r="F62" s="82"/>
      <c r="G62" s="82"/>
      <c r="H62" s="82"/>
      <c r="I62" s="82"/>
    </row>
    <row r="63" spans="1:9">
      <c r="A63" s="82"/>
      <c r="B63" s="86"/>
      <c r="C63" s="82"/>
      <c r="D63" s="82"/>
      <c r="E63" s="82"/>
      <c r="F63" s="82"/>
      <c r="G63" s="82"/>
      <c r="H63" s="82"/>
      <c r="I63" s="82"/>
    </row>
    <row r="64" spans="1:9">
      <c r="A64" s="82"/>
      <c r="B64" s="86"/>
      <c r="C64" s="82"/>
      <c r="D64" s="82"/>
      <c r="E64" s="82"/>
      <c r="F64" s="82"/>
      <c r="G64" s="82"/>
      <c r="H64" s="82"/>
      <c r="I64" s="82"/>
    </row>
    <row r="65" spans="1:9">
      <c r="A65" s="82"/>
      <c r="B65" s="86"/>
      <c r="C65" s="82"/>
      <c r="D65" s="82"/>
      <c r="E65" s="82"/>
      <c r="F65" s="82"/>
      <c r="G65" s="82"/>
      <c r="H65" s="82"/>
      <c r="I65" s="82"/>
    </row>
    <row r="66" spans="1:9">
      <c r="A66" s="82"/>
      <c r="B66" s="86"/>
      <c r="C66" s="82"/>
      <c r="D66" s="82"/>
      <c r="E66" s="82"/>
      <c r="F66" s="82"/>
      <c r="G66" s="82"/>
      <c r="H66" s="82"/>
      <c r="I66" s="82"/>
    </row>
    <row r="67" spans="1:9">
      <c r="A67" s="82"/>
      <c r="B67" s="86"/>
      <c r="C67" s="82"/>
      <c r="D67" s="82"/>
      <c r="E67" s="82"/>
      <c r="F67" s="82"/>
      <c r="G67" s="82"/>
      <c r="H67" s="82"/>
      <c r="I67" s="82"/>
    </row>
    <row r="68" spans="1:9">
      <c r="A68" s="82"/>
      <c r="B68" s="86"/>
      <c r="C68" s="82"/>
      <c r="D68" s="82"/>
      <c r="E68" s="82"/>
      <c r="F68" s="82"/>
      <c r="G68" s="82"/>
      <c r="H68" s="82"/>
      <c r="I68" s="82"/>
    </row>
    <row r="69" spans="1:9">
      <c r="A69" s="82"/>
      <c r="B69" s="86"/>
      <c r="C69" s="82"/>
      <c r="D69" s="82"/>
      <c r="E69" s="82"/>
      <c r="F69" s="82"/>
      <c r="G69" s="82"/>
      <c r="H69" s="82"/>
      <c r="I69" s="82"/>
    </row>
  </sheetData>
  <phoneticPr fontId="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2759-9761-1B4F-8980-FF9B585B8FC4}">
  <dimension ref="A1:L6"/>
  <sheetViews>
    <sheetView workbookViewId="0">
      <selection activeCell="H7" sqref="H7"/>
    </sheetView>
  </sheetViews>
  <sheetFormatPr baseColWidth="10" defaultRowHeight="20"/>
  <sheetData>
    <row r="1" spans="1:12">
      <c r="A1" t="s">
        <v>419</v>
      </c>
      <c r="B1" t="s">
        <v>4</v>
      </c>
      <c r="C1" t="s">
        <v>5</v>
      </c>
      <c r="D1" s="45" t="s">
        <v>383</v>
      </c>
      <c r="E1" s="10" t="s">
        <v>53</v>
      </c>
      <c r="F1" s="8" t="s">
        <v>52</v>
      </c>
      <c r="G1" t="s">
        <v>552</v>
      </c>
      <c r="H1" t="s">
        <v>553</v>
      </c>
      <c r="I1" t="s">
        <v>554</v>
      </c>
      <c r="J1" t="s">
        <v>555</v>
      </c>
      <c r="K1" t="s">
        <v>556</v>
      </c>
      <c r="L1" t="s">
        <v>557</v>
      </c>
    </row>
    <row r="2" spans="1:12" ht="24">
      <c r="A2" s="47">
        <v>42125</v>
      </c>
      <c r="B2" s="48">
        <v>25</v>
      </c>
      <c r="C2" s="48">
        <v>134</v>
      </c>
      <c r="D2" s="46">
        <v>5</v>
      </c>
      <c r="E2">
        <f>I2*L2/(J2+L2)/1000</f>
        <v>5.3677419354838701E-4</v>
      </c>
      <c r="F2">
        <f>G2*K2/(H2+K2)/1000</f>
        <v>5.8336134453781518E-4</v>
      </c>
      <c r="G2">
        <v>0.78</v>
      </c>
      <c r="H2">
        <v>30</v>
      </c>
      <c r="I2">
        <v>1.04</v>
      </c>
      <c r="J2">
        <v>30</v>
      </c>
      <c r="K2" s="46">
        <v>89</v>
      </c>
      <c r="L2" s="46">
        <v>32</v>
      </c>
    </row>
    <row r="3" spans="1:12" ht="24">
      <c r="A3" s="47">
        <v>42125</v>
      </c>
      <c r="B3" s="48">
        <v>25</v>
      </c>
      <c r="C3" s="48">
        <v>134</v>
      </c>
      <c r="D3" s="46">
        <v>40</v>
      </c>
      <c r="E3">
        <f t="shared" ref="E3:E6" si="0">I3*L3/(J3+L3)/1000</f>
        <v>6.9863636363636363E-4</v>
      </c>
      <c r="F3">
        <f t="shared" ref="F3:F6" si="1">G3*K3/(H3+K3)/1000</f>
        <v>7.5005847953216382E-4</v>
      </c>
      <c r="G3">
        <v>1.06</v>
      </c>
      <c r="H3">
        <v>50</v>
      </c>
      <c r="I3">
        <v>1.59</v>
      </c>
      <c r="J3">
        <v>37</v>
      </c>
      <c r="K3" s="46">
        <v>121</v>
      </c>
      <c r="L3" s="46">
        <v>29</v>
      </c>
    </row>
    <row r="4" spans="1:12" ht="24">
      <c r="A4" s="47">
        <v>42125</v>
      </c>
      <c r="B4" s="48">
        <v>30</v>
      </c>
      <c r="C4" s="48">
        <v>146.99666666666667</v>
      </c>
      <c r="D4" s="46">
        <v>40</v>
      </c>
      <c r="E4">
        <f t="shared" si="0"/>
        <v>4.0493827160493822E-4</v>
      </c>
      <c r="F4">
        <f t="shared" si="1"/>
        <v>6.5767857142857143E-4</v>
      </c>
      <c r="G4">
        <v>1.45</v>
      </c>
      <c r="H4">
        <v>153</v>
      </c>
      <c r="I4">
        <v>0.82</v>
      </c>
      <c r="J4">
        <v>82</v>
      </c>
      <c r="K4" s="46">
        <v>127</v>
      </c>
      <c r="L4" s="46">
        <v>80</v>
      </c>
    </row>
    <row r="5" spans="1:12" ht="24">
      <c r="A5" s="47">
        <v>42125</v>
      </c>
      <c r="B5" s="48">
        <v>34</v>
      </c>
      <c r="C5" s="48">
        <v>147.83333333333334</v>
      </c>
      <c r="D5" s="46">
        <v>25</v>
      </c>
      <c r="E5">
        <f t="shared" si="0"/>
        <v>5.3039999999999999E-4</v>
      </c>
      <c r="F5">
        <f t="shared" si="1"/>
        <v>1.2309468822170901E-3</v>
      </c>
      <c r="G5">
        <v>6.5</v>
      </c>
      <c r="H5">
        <v>351</v>
      </c>
      <c r="I5">
        <v>2.04</v>
      </c>
      <c r="J5">
        <v>111</v>
      </c>
      <c r="K5" s="46">
        <v>82</v>
      </c>
      <c r="L5" s="46">
        <v>39</v>
      </c>
    </row>
    <row r="6" spans="1:12" ht="24">
      <c r="A6" s="47">
        <v>42125</v>
      </c>
      <c r="B6" s="48">
        <v>37.998333333333335</v>
      </c>
      <c r="C6" s="48">
        <v>146.99833333333333</v>
      </c>
      <c r="D6" s="46">
        <v>30</v>
      </c>
      <c r="E6">
        <f t="shared" si="0"/>
        <v>3.6211389961389958E-3</v>
      </c>
      <c r="F6">
        <f t="shared" si="1"/>
        <v>3.4754325259515571E-3</v>
      </c>
      <c r="G6">
        <v>8.1</v>
      </c>
      <c r="H6">
        <v>165</v>
      </c>
      <c r="I6">
        <v>9.15</v>
      </c>
      <c r="J6">
        <v>313</v>
      </c>
      <c r="K6" s="46">
        <v>124</v>
      </c>
      <c r="L6" s="46">
        <v>205</v>
      </c>
    </row>
  </sheetData>
  <phoneticPr fontId="2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D639-8891-4C44-82EF-DC3EEDDE4FAF}">
  <dimension ref="A1:P25"/>
  <sheetViews>
    <sheetView workbookViewId="0">
      <selection activeCell="K36" sqref="K36"/>
    </sheetView>
  </sheetViews>
  <sheetFormatPr baseColWidth="10" defaultRowHeight="20"/>
  <sheetData>
    <row r="1" spans="1:16">
      <c r="A1" s="1" t="s">
        <v>419</v>
      </c>
      <c r="B1" t="s">
        <v>4</v>
      </c>
      <c r="C1" t="s">
        <v>5</v>
      </c>
      <c r="D1" t="s">
        <v>383</v>
      </c>
      <c r="E1" t="s">
        <v>380</v>
      </c>
      <c r="F1" t="s">
        <v>381</v>
      </c>
      <c r="G1" t="s">
        <v>382</v>
      </c>
      <c r="H1" t="s">
        <v>50</v>
      </c>
      <c r="I1" s="10" t="s">
        <v>53</v>
      </c>
      <c r="J1" s="8" t="s">
        <v>52</v>
      </c>
      <c r="K1" s="8" t="s">
        <v>421</v>
      </c>
      <c r="L1" s="6" t="s">
        <v>8</v>
      </c>
      <c r="M1" s="7" t="s">
        <v>9</v>
      </c>
      <c r="N1" s="7" t="s">
        <v>375</v>
      </c>
    </row>
    <row r="2" spans="1:16">
      <c r="A2" s="1">
        <v>42454</v>
      </c>
      <c r="B2">
        <v>-28.31</v>
      </c>
      <c r="C2">
        <v>95</v>
      </c>
      <c r="D2">
        <v>20</v>
      </c>
      <c r="E2">
        <v>1.37E-2</v>
      </c>
      <c r="F2">
        <v>2.8999999999999998E-3</v>
      </c>
      <c r="G2">
        <v>2.5999999999999999E-3</v>
      </c>
      <c r="H2" s="12">
        <v>-0.68247018029189777</v>
      </c>
      <c r="I2" s="11">
        <v>1.9109999999999999E-3</v>
      </c>
      <c r="J2" s="11">
        <v>3.97E-4</v>
      </c>
      <c r="K2" s="11">
        <v>3.5999999999999997E-4</v>
      </c>
      <c r="L2">
        <v>1.911</v>
      </c>
      <c r="M2">
        <v>0.39700000000000002</v>
      </c>
      <c r="N2">
        <v>0.36</v>
      </c>
      <c r="P2" s="2" t="s">
        <v>51</v>
      </c>
    </row>
    <row r="3" spans="1:16">
      <c r="A3" s="1">
        <v>42454</v>
      </c>
      <c r="B3">
        <v>-26.52</v>
      </c>
      <c r="C3">
        <v>95</v>
      </c>
      <c r="D3">
        <v>20</v>
      </c>
      <c r="E3">
        <v>1.0500000000000001E-2</v>
      </c>
      <c r="F3">
        <v>4.1999999999999997E-3</v>
      </c>
      <c r="G3">
        <v>3.0999999999999999E-3</v>
      </c>
      <c r="H3" s="12">
        <v>-0.40086145539611429</v>
      </c>
      <c r="I3" s="11">
        <v>1.4170000000000001E-3</v>
      </c>
      <c r="J3" s="11">
        <v>5.6299999999999992E-4</v>
      </c>
      <c r="K3" s="11">
        <v>4.1799999999999997E-4</v>
      </c>
      <c r="L3">
        <v>1.417</v>
      </c>
      <c r="M3">
        <v>0.56299999999999994</v>
      </c>
      <c r="N3">
        <v>0.41799999999999998</v>
      </c>
      <c r="P3" s="2" t="s">
        <v>51</v>
      </c>
    </row>
    <row r="4" spans="1:16">
      <c r="A4" s="1">
        <v>42455</v>
      </c>
      <c r="B4">
        <v>-24.73</v>
      </c>
      <c r="C4">
        <v>95</v>
      </c>
      <c r="D4">
        <v>20</v>
      </c>
      <c r="E4">
        <v>1.0699999999999999E-2</v>
      </c>
      <c r="F4">
        <v>8.0999999999999996E-3</v>
      </c>
      <c r="G4">
        <v>2.3999999999999998E-3</v>
      </c>
      <c r="H4" s="12">
        <v>-0.12199435596151863</v>
      </c>
      <c r="I4" s="11">
        <v>1.176E-3</v>
      </c>
      <c r="J4" s="11">
        <v>8.8800000000000001E-4</v>
      </c>
      <c r="K4" s="11">
        <v>2.6900000000000003E-4</v>
      </c>
      <c r="L4">
        <v>1.1759999999999999</v>
      </c>
      <c r="M4">
        <v>0.88800000000000001</v>
      </c>
      <c r="N4">
        <v>0.26900000000000002</v>
      </c>
      <c r="P4" s="2" t="s">
        <v>51</v>
      </c>
    </row>
    <row r="5" spans="1:16">
      <c r="A5" s="1">
        <v>42458</v>
      </c>
      <c r="B5">
        <v>-20.76</v>
      </c>
      <c r="C5">
        <v>95</v>
      </c>
      <c r="D5">
        <v>20</v>
      </c>
      <c r="E5">
        <v>1.2E-2</v>
      </c>
      <c r="F5">
        <v>8.3000000000000001E-3</v>
      </c>
      <c r="G5">
        <v>3.5000000000000001E-3</v>
      </c>
      <c r="H5" s="12">
        <v>-0.16229323888106664</v>
      </c>
      <c r="I5" s="11">
        <v>2.091E-3</v>
      </c>
      <c r="J5" s="11">
        <v>1.439E-3</v>
      </c>
      <c r="K5" s="11">
        <v>6.11E-4</v>
      </c>
      <c r="L5">
        <v>2.0910000000000002</v>
      </c>
      <c r="M5">
        <v>1.4390000000000001</v>
      </c>
      <c r="N5">
        <v>0.61099999999999999</v>
      </c>
      <c r="P5" s="2" t="s">
        <v>51</v>
      </c>
    </row>
    <row r="6" spans="1:16">
      <c r="A6" s="1">
        <v>42459</v>
      </c>
      <c r="B6">
        <v>-17.399999999999999</v>
      </c>
      <c r="C6">
        <v>95</v>
      </c>
      <c r="D6">
        <v>20</v>
      </c>
      <c r="E6">
        <v>1.37E-2</v>
      </c>
      <c r="F6">
        <v>7.1999999999999998E-3</v>
      </c>
      <c r="G6">
        <v>1E-4</v>
      </c>
      <c r="H6" s="12">
        <v>-0.27822170317427458</v>
      </c>
      <c r="I6" s="11">
        <v>2.4480000000000001E-3</v>
      </c>
      <c r="J6" s="11">
        <v>1.2900000000000001E-3</v>
      </c>
      <c r="K6" s="11">
        <v>8.1499999999999997E-4</v>
      </c>
      <c r="L6">
        <v>2.448</v>
      </c>
      <c r="M6">
        <v>1.29</v>
      </c>
      <c r="N6">
        <v>0.81499999999999995</v>
      </c>
      <c r="P6" s="2" t="s">
        <v>51</v>
      </c>
    </row>
    <row r="7" spans="1:16">
      <c r="A7" s="1">
        <v>42461</v>
      </c>
      <c r="B7">
        <v>-13.57</v>
      </c>
      <c r="C7">
        <v>95</v>
      </c>
      <c r="D7">
        <v>20</v>
      </c>
      <c r="E7">
        <v>1.6500000000000001E-2</v>
      </c>
      <c r="F7">
        <v>2.4199999999999999E-2</v>
      </c>
      <c r="G7">
        <v>1.1999999999999999E-3</v>
      </c>
      <c r="H7" s="12">
        <v>0.16592426019096984</v>
      </c>
      <c r="I7" s="11">
        <v>3.8319999999999999E-3</v>
      </c>
      <c r="J7" s="11">
        <v>5.6150000000000002E-3</v>
      </c>
      <c r="K7" s="11">
        <v>1.194E-3</v>
      </c>
      <c r="L7">
        <v>3.8319999999999999</v>
      </c>
      <c r="M7">
        <v>5.6150000000000002</v>
      </c>
      <c r="N7">
        <v>1.194</v>
      </c>
      <c r="P7" s="2" t="s">
        <v>51</v>
      </c>
    </row>
    <row r="8" spans="1:16">
      <c r="A8" s="1">
        <v>42463</v>
      </c>
      <c r="B8">
        <v>-11.42</v>
      </c>
      <c r="C8">
        <v>95</v>
      </c>
      <c r="D8">
        <v>20</v>
      </c>
      <c r="E8">
        <v>1.9900000000000001E-2</v>
      </c>
      <c r="F8">
        <v>0.01</v>
      </c>
      <c r="G8">
        <v>1E-4</v>
      </c>
      <c r="H8" s="12">
        <v>-0.29906840930340783</v>
      </c>
      <c r="I8" s="11">
        <v>4.4180000000000001E-3</v>
      </c>
      <c r="J8" s="11">
        <v>2.2190000000000001E-3</v>
      </c>
      <c r="K8" s="11">
        <v>1.0740000000000001E-3</v>
      </c>
      <c r="L8">
        <v>4.4180000000000001</v>
      </c>
      <c r="M8">
        <v>2.2189999999999999</v>
      </c>
      <c r="N8">
        <v>1.0740000000000001</v>
      </c>
      <c r="P8" s="2" t="s">
        <v>51</v>
      </c>
    </row>
    <row r="9" spans="1:16">
      <c r="A9" s="1">
        <v>42463</v>
      </c>
      <c r="B9">
        <v>-10.35</v>
      </c>
      <c r="C9">
        <v>95</v>
      </c>
      <c r="D9">
        <v>25</v>
      </c>
      <c r="E9">
        <v>2.0799999999999999E-2</v>
      </c>
      <c r="F9">
        <v>1.2200000000000001E-2</v>
      </c>
      <c r="G9">
        <v>1.4E-3</v>
      </c>
      <c r="H9" s="12">
        <v>-0.2334191932136345</v>
      </c>
      <c r="I9" s="11">
        <v>5.1349999999999998E-3</v>
      </c>
      <c r="J9" s="11">
        <v>3.0000000000000001E-3</v>
      </c>
      <c r="K9" s="11">
        <v>9.4899999999999997E-4</v>
      </c>
      <c r="L9">
        <v>5.1349999999999998</v>
      </c>
      <c r="M9">
        <v>3</v>
      </c>
      <c r="N9">
        <v>0.94899999999999995</v>
      </c>
      <c r="P9" s="2" t="s">
        <v>51</v>
      </c>
    </row>
    <row r="10" spans="1:16">
      <c r="A10" s="1">
        <v>42465</v>
      </c>
      <c r="B10">
        <v>-8.2200000000000006</v>
      </c>
      <c r="C10">
        <v>95</v>
      </c>
      <c r="D10">
        <v>20</v>
      </c>
      <c r="E10">
        <v>1.52E-2</v>
      </c>
      <c r="F10">
        <v>1.0200000000000001E-2</v>
      </c>
      <c r="G10">
        <v>8.9999999999999998E-4</v>
      </c>
      <c r="H10" s="12">
        <v>-0.17059486306957602</v>
      </c>
      <c r="I10" s="11">
        <v>3.8079999999999998E-3</v>
      </c>
      <c r="J10" s="11">
        <v>2.5710000000000004E-3</v>
      </c>
      <c r="K10" s="11">
        <v>1.08E-3</v>
      </c>
      <c r="L10">
        <v>3.8079999999999998</v>
      </c>
      <c r="M10">
        <v>2.5710000000000002</v>
      </c>
      <c r="N10">
        <v>1.08</v>
      </c>
      <c r="P10" s="2" t="s">
        <v>51</v>
      </c>
    </row>
    <row r="11" spans="1:16">
      <c r="A11" s="1">
        <v>42465</v>
      </c>
      <c r="B11">
        <v>-6.6</v>
      </c>
      <c r="C11">
        <v>95</v>
      </c>
      <c r="D11">
        <v>20</v>
      </c>
      <c r="E11">
        <v>2.3400000000000001E-2</v>
      </c>
      <c r="F11">
        <v>1.3100000000000001E-2</v>
      </c>
      <c r="G11">
        <v>1.9E-3</v>
      </c>
      <c r="H11" s="12">
        <v>-0.25269384376432918</v>
      </c>
      <c r="I11" s="11">
        <v>5.8099999999999992E-3</v>
      </c>
      <c r="J11" s="11">
        <v>3.2469999999999999E-3</v>
      </c>
      <c r="K11" s="11">
        <v>1.7549999999999998E-3</v>
      </c>
      <c r="L11">
        <v>5.81</v>
      </c>
      <c r="M11">
        <v>3.2469999999999999</v>
      </c>
      <c r="N11">
        <v>1.7549999999999999</v>
      </c>
      <c r="P11" s="2" t="s">
        <v>51</v>
      </c>
    </row>
    <row r="12" spans="1:16">
      <c r="A12" s="1">
        <v>42467</v>
      </c>
      <c r="B12">
        <v>-4.53</v>
      </c>
      <c r="C12">
        <v>94.87</v>
      </c>
      <c r="D12">
        <v>20</v>
      </c>
      <c r="E12">
        <v>2.41E-2</v>
      </c>
      <c r="F12">
        <v>4.3700000000000003E-2</v>
      </c>
      <c r="G12">
        <v>5.0000000000000001E-4</v>
      </c>
      <c r="H12" s="12">
        <v>0.25836307052015517</v>
      </c>
      <c r="I12" s="11">
        <v>6.6900000000000006E-3</v>
      </c>
      <c r="J12" s="11">
        <v>1.2128E-2</v>
      </c>
      <c r="K12" s="11">
        <v>1.9479999999999999E-3</v>
      </c>
      <c r="L12">
        <v>6.69</v>
      </c>
      <c r="M12">
        <v>12.128</v>
      </c>
      <c r="N12">
        <v>1.948</v>
      </c>
      <c r="P12" s="2" t="s">
        <v>51</v>
      </c>
    </row>
    <row r="13" spans="1:16">
      <c r="A13" s="1">
        <v>42468</v>
      </c>
      <c r="B13">
        <v>-3.13</v>
      </c>
      <c r="C13">
        <v>94.43</v>
      </c>
      <c r="D13">
        <v>20</v>
      </c>
      <c r="E13">
        <v>2.5399999999999999E-2</v>
      </c>
      <c r="F13">
        <v>4.36E-2</v>
      </c>
      <c r="G13">
        <v>2.0000000000000001E-4</v>
      </c>
      <c r="H13" s="12">
        <v>0.2352872873712934</v>
      </c>
      <c r="I13" s="11">
        <v>5.8230000000000001E-3</v>
      </c>
      <c r="J13" s="11">
        <v>1.001E-2</v>
      </c>
      <c r="K13" s="11">
        <v>1.673E-3</v>
      </c>
      <c r="L13">
        <v>5.8230000000000004</v>
      </c>
      <c r="M13">
        <v>10.01</v>
      </c>
      <c r="N13">
        <v>1.673</v>
      </c>
      <c r="P13" s="2" t="s">
        <v>51</v>
      </c>
    </row>
    <row r="14" spans="1:16">
      <c r="A14" s="1">
        <v>42468</v>
      </c>
      <c r="B14">
        <v>-2.2000000000000002</v>
      </c>
      <c r="C14">
        <v>94.13</v>
      </c>
      <c r="D14">
        <v>20</v>
      </c>
      <c r="E14">
        <v>2.9700000000000001E-2</v>
      </c>
      <c r="F14">
        <v>4.2700000000000002E-2</v>
      </c>
      <c r="G14">
        <v>2.9999999999999997E-4</v>
      </c>
      <c r="H14" s="12">
        <v>0.15777221258722926</v>
      </c>
      <c r="I14" s="11">
        <v>8.3850000000000001E-3</v>
      </c>
      <c r="J14" s="11">
        <v>1.2057999999999999E-2</v>
      </c>
      <c r="K14" s="11">
        <v>2.4190000000000001E-3</v>
      </c>
      <c r="L14">
        <v>8.3849999999999998</v>
      </c>
      <c r="M14">
        <v>12.058</v>
      </c>
      <c r="N14">
        <v>2.419</v>
      </c>
      <c r="P14" s="2" t="s">
        <v>51</v>
      </c>
    </row>
    <row r="15" spans="1:16">
      <c r="A15" s="1">
        <v>42471</v>
      </c>
      <c r="B15">
        <v>0.55000000000000004</v>
      </c>
      <c r="C15">
        <v>93.02</v>
      </c>
      <c r="D15">
        <v>20</v>
      </c>
      <c r="E15">
        <v>1.9699999999999999E-2</v>
      </c>
      <c r="F15">
        <v>4.41E-2</v>
      </c>
      <c r="G15">
        <v>1.1000000000000001E-3</v>
      </c>
      <c r="H15" s="12">
        <v>0.34994816231657766</v>
      </c>
      <c r="I15" s="11">
        <v>8.098000000000001E-3</v>
      </c>
      <c r="J15" s="11">
        <v>1.8126999999999997E-2</v>
      </c>
      <c r="K15" s="11">
        <v>2.385E-3</v>
      </c>
      <c r="L15">
        <v>8.0980000000000008</v>
      </c>
      <c r="M15">
        <v>18.126999999999999</v>
      </c>
      <c r="N15">
        <v>2.3849999999999998</v>
      </c>
      <c r="P15" s="2" t="s">
        <v>51</v>
      </c>
    </row>
    <row r="16" spans="1:16">
      <c r="A16" s="1">
        <v>42471</v>
      </c>
      <c r="B16">
        <v>1.45</v>
      </c>
      <c r="C16">
        <v>92.3</v>
      </c>
      <c r="D16">
        <v>20</v>
      </c>
      <c r="E16">
        <v>2.53E-2</v>
      </c>
      <c r="F16">
        <v>2.47E-2</v>
      </c>
      <c r="G16">
        <v>1.9E-3</v>
      </c>
      <c r="H16" s="12">
        <v>-1.1367187996492016E-2</v>
      </c>
      <c r="I16" s="11">
        <v>9.019000000000001E-3</v>
      </c>
      <c r="J16" s="11">
        <v>8.7860000000000004E-3</v>
      </c>
      <c r="K16" s="11">
        <v>3.1649999999999998E-3</v>
      </c>
      <c r="L16">
        <v>9.0190000000000001</v>
      </c>
      <c r="M16">
        <v>8.7859999999999996</v>
      </c>
      <c r="N16">
        <v>3.165</v>
      </c>
      <c r="P16" s="2" t="s">
        <v>51</v>
      </c>
    </row>
    <row r="17" spans="1:16">
      <c r="A17" s="1">
        <v>42472</v>
      </c>
      <c r="B17">
        <v>3</v>
      </c>
      <c r="C17">
        <v>91.76</v>
      </c>
      <c r="D17">
        <v>20</v>
      </c>
      <c r="E17">
        <v>2.01E-2</v>
      </c>
      <c r="F17">
        <v>2.8500000000000001E-2</v>
      </c>
      <c r="G17">
        <v>1.1999999999999999E-3</v>
      </c>
      <c r="H17" s="12">
        <v>0.15104671654597782</v>
      </c>
      <c r="I17" s="11">
        <v>7.8639999999999995E-3</v>
      </c>
      <c r="J17" s="11">
        <v>1.1134999999999999E-2</v>
      </c>
      <c r="K17" s="11">
        <v>2.7530000000000002E-3</v>
      </c>
      <c r="L17">
        <v>7.8639999999999999</v>
      </c>
      <c r="M17">
        <v>11.135</v>
      </c>
      <c r="N17">
        <v>2.7530000000000001</v>
      </c>
      <c r="P17" s="2" t="s">
        <v>51</v>
      </c>
    </row>
    <row r="18" spans="1:16">
      <c r="A18" s="1">
        <v>42473</v>
      </c>
      <c r="B18">
        <v>4.6500000000000004</v>
      </c>
      <c r="C18">
        <v>90.76</v>
      </c>
      <c r="D18">
        <v>20</v>
      </c>
      <c r="E18">
        <v>1.78E-2</v>
      </c>
      <c r="F18">
        <v>3.0099999999999998E-2</v>
      </c>
      <c r="G18">
        <v>2.9999999999999997E-4</v>
      </c>
      <c r="H18" s="12">
        <v>0.40130828135340235</v>
      </c>
      <c r="I18" s="11">
        <v>6.5759999999999994E-3</v>
      </c>
      <c r="J18" s="11">
        <v>1.6568000000000003E-2</v>
      </c>
      <c r="K18" s="11">
        <v>2.882E-3</v>
      </c>
      <c r="L18">
        <v>6.5759999999999996</v>
      </c>
      <c r="M18">
        <v>16.568000000000001</v>
      </c>
      <c r="N18">
        <v>2.8820000000000001</v>
      </c>
      <c r="P18" s="2" t="s">
        <v>51</v>
      </c>
    </row>
    <row r="19" spans="1:16">
      <c r="A19" s="1">
        <v>42475</v>
      </c>
      <c r="B19">
        <v>6.5</v>
      </c>
      <c r="C19">
        <v>89.34</v>
      </c>
      <c r="D19">
        <v>20</v>
      </c>
      <c r="E19">
        <v>2.5399999999999999E-2</v>
      </c>
      <c r="F19">
        <v>6.0699999999999997E-2</v>
      </c>
      <c r="G19">
        <v>4.0000000000000002E-4</v>
      </c>
      <c r="H19" s="12">
        <v>0.3784977899946555</v>
      </c>
      <c r="I19" s="11">
        <v>8.9309999999999997E-3</v>
      </c>
      <c r="J19" s="11">
        <v>2.1350000000000001E-2</v>
      </c>
      <c r="K19" s="11">
        <v>3.3509999999999998E-3</v>
      </c>
      <c r="L19">
        <v>8.9309999999999992</v>
      </c>
      <c r="M19">
        <v>21.35</v>
      </c>
      <c r="N19">
        <v>3.351</v>
      </c>
      <c r="P19" s="2" t="s">
        <v>51</v>
      </c>
    </row>
    <row r="20" spans="1:16">
      <c r="A20" s="1">
        <v>42476</v>
      </c>
      <c r="B20">
        <v>7.98</v>
      </c>
      <c r="C20">
        <v>88.2</v>
      </c>
      <c r="D20">
        <v>20</v>
      </c>
      <c r="E20">
        <v>1.7899999999999999E-2</v>
      </c>
      <c r="F20">
        <v>3.3099999999999997E-2</v>
      </c>
      <c r="G20">
        <v>1E-4</v>
      </c>
      <c r="H20" s="12">
        <v>0.26601635940403645</v>
      </c>
      <c r="I20" s="11">
        <v>5.829E-3</v>
      </c>
      <c r="J20" s="11">
        <v>1.0755000000000001E-2</v>
      </c>
      <c r="K20" s="11">
        <v>3.1150000000000001E-3</v>
      </c>
      <c r="L20">
        <v>5.8289999999999997</v>
      </c>
      <c r="M20">
        <v>10.755000000000001</v>
      </c>
      <c r="N20">
        <v>3.1150000000000002</v>
      </c>
      <c r="P20" s="2" t="s">
        <v>51</v>
      </c>
    </row>
    <row r="21" spans="1:16">
      <c r="A21" s="1">
        <v>42476</v>
      </c>
      <c r="B21">
        <v>9.4600000000000009</v>
      </c>
      <c r="C21">
        <v>87.07</v>
      </c>
      <c r="D21">
        <v>20</v>
      </c>
      <c r="E21">
        <v>2.4500000000000001E-2</v>
      </c>
      <c r="F21">
        <v>4.1700000000000001E-2</v>
      </c>
      <c r="G21">
        <v>2.9999999999999997E-4</v>
      </c>
      <c r="H21" s="12">
        <v>0.23182538113907036</v>
      </c>
      <c r="I21" s="11">
        <v>7.0229999999999997E-3</v>
      </c>
      <c r="J21" s="11">
        <v>1.1977E-2</v>
      </c>
      <c r="K21" s="11">
        <v>1.3849999999999999E-3</v>
      </c>
      <c r="L21">
        <v>7.0229999999999997</v>
      </c>
      <c r="M21">
        <v>11.977</v>
      </c>
      <c r="N21">
        <v>1.385</v>
      </c>
      <c r="P21" s="2" t="s">
        <v>51</v>
      </c>
    </row>
    <row r="22" spans="1:16">
      <c r="A22" s="1">
        <v>42480</v>
      </c>
      <c r="B22">
        <v>10.77</v>
      </c>
      <c r="C22">
        <v>87.34</v>
      </c>
      <c r="D22">
        <v>20</v>
      </c>
      <c r="E22">
        <v>1.72E-2</v>
      </c>
      <c r="F22">
        <v>3.4799999999999998E-2</v>
      </c>
      <c r="G22">
        <v>5.0000000000000001E-4</v>
      </c>
      <c r="H22" s="12">
        <v>0.30588948719729947</v>
      </c>
      <c r="I22" s="11">
        <v>4.4880000000000007E-3</v>
      </c>
      <c r="J22" s="11">
        <v>9.077E-3</v>
      </c>
      <c r="K22" s="11">
        <v>1.2470000000000001E-3</v>
      </c>
      <c r="L22">
        <v>4.4880000000000004</v>
      </c>
      <c r="M22">
        <v>9.077</v>
      </c>
      <c r="N22">
        <v>1.2470000000000001</v>
      </c>
      <c r="P22" s="2" t="s">
        <v>51</v>
      </c>
    </row>
    <row r="23" spans="1:16">
      <c r="A23" s="1">
        <v>42481</v>
      </c>
      <c r="B23">
        <v>12.66</v>
      </c>
      <c r="C23">
        <v>88.46</v>
      </c>
      <c r="D23">
        <v>20</v>
      </c>
      <c r="E23">
        <v>1.9599999999999999E-2</v>
      </c>
      <c r="F23">
        <v>4.8300000000000003E-2</v>
      </c>
      <c r="G23">
        <v>8.9999999999999998E-4</v>
      </c>
      <c r="H23" s="12">
        <v>0.39087304086578001</v>
      </c>
      <c r="I23" s="11">
        <v>5.2910000000000006E-3</v>
      </c>
      <c r="J23" s="11">
        <v>1.3014E-2</v>
      </c>
      <c r="K23" s="11">
        <v>1.4990000000000001E-3</v>
      </c>
      <c r="L23">
        <v>5.2910000000000004</v>
      </c>
      <c r="M23">
        <v>13.013999999999999</v>
      </c>
      <c r="N23">
        <v>1.4990000000000001</v>
      </c>
      <c r="P23" s="2" t="s">
        <v>51</v>
      </c>
    </row>
    <row r="24" spans="1:16">
      <c r="A24" s="1">
        <v>42482</v>
      </c>
      <c r="B24">
        <v>14.55</v>
      </c>
      <c r="C24">
        <v>89.59</v>
      </c>
      <c r="D24">
        <v>20</v>
      </c>
      <c r="E24">
        <v>1.9400000000000001E-2</v>
      </c>
      <c r="F24">
        <v>6.1800000000000001E-2</v>
      </c>
      <c r="G24">
        <v>2.9999999999999997E-4</v>
      </c>
      <c r="H24" s="12">
        <v>0.50393359741814747</v>
      </c>
      <c r="I24" s="11">
        <v>5.2290000000000001E-3</v>
      </c>
      <c r="J24" s="11">
        <v>1.6685999999999999E-2</v>
      </c>
      <c r="K24" s="11">
        <v>1.89E-3</v>
      </c>
      <c r="L24">
        <v>5.2290000000000001</v>
      </c>
      <c r="M24">
        <v>16.686</v>
      </c>
      <c r="N24">
        <v>1.89</v>
      </c>
      <c r="P24" s="2" t="s">
        <v>51</v>
      </c>
    </row>
    <row r="25" spans="1:16">
      <c r="A25" s="1">
        <v>42484</v>
      </c>
      <c r="B25">
        <v>17</v>
      </c>
      <c r="C25">
        <v>89.85</v>
      </c>
      <c r="D25">
        <v>20</v>
      </c>
      <c r="E25">
        <v>2.01E-2</v>
      </c>
      <c r="F25">
        <v>6.5199999999999994E-2</v>
      </c>
      <c r="G25">
        <v>2.2000000000000001E-3</v>
      </c>
      <c r="H25" s="12">
        <v>0.51196949804690961</v>
      </c>
      <c r="I25" s="11">
        <v>5.8170000000000001E-3</v>
      </c>
      <c r="J25" s="11">
        <v>1.8908999999999999E-2</v>
      </c>
      <c r="K25" s="11">
        <v>1.042E-3</v>
      </c>
      <c r="L25">
        <v>5.8170000000000002</v>
      </c>
      <c r="M25">
        <v>18.908999999999999</v>
      </c>
      <c r="N25">
        <v>1.042</v>
      </c>
      <c r="P25" s="2" t="s">
        <v>51</v>
      </c>
    </row>
  </sheetData>
  <phoneticPr fontId="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7030-BD1C-C94C-BEF1-618BD7B24F13}">
  <dimension ref="A1:J13"/>
  <sheetViews>
    <sheetView workbookViewId="0">
      <selection activeCell="E1" sqref="E1:G1"/>
    </sheetView>
  </sheetViews>
  <sheetFormatPr baseColWidth="10" defaultRowHeight="20"/>
  <sheetData>
    <row r="1" spans="1:10">
      <c r="A1" t="s">
        <v>419</v>
      </c>
      <c r="B1" t="s">
        <v>4</v>
      </c>
      <c r="C1" t="s">
        <v>5</v>
      </c>
      <c r="D1" t="s">
        <v>383</v>
      </c>
      <c r="E1" s="10" t="s">
        <v>53</v>
      </c>
      <c r="F1" s="8" t="s">
        <v>52</v>
      </c>
      <c r="G1" s="7" t="s">
        <v>421</v>
      </c>
      <c r="H1" t="s">
        <v>558</v>
      </c>
      <c r="I1" t="s">
        <v>560</v>
      </c>
      <c r="J1" t="s">
        <v>559</v>
      </c>
    </row>
    <row r="2" spans="1:10">
      <c r="A2" s="49">
        <v>42917</v>
      </c>
      <c r="B2">
        <v>-36.43</v>
      </c>
      <c r="C2">
        <v>19.05</v>
      </c>
      <c r="D2">
        <v>10</v>
      </c>
      <c r="F2">
        <f t="shared" ref="F2:G8" si="0">I2/1000/24</f>
        <v>4.6055959041666665E-4</v>
      </c>
      <c r="G2">
        <f t="shared" si="0"/>
        <v>2.8637426016666669E-4</v>
      </c>
      <c r="I2">
        <v>11.05343017</v>
      </c>
      <c r="J2">
        <v>6.8729822440000001</v>
      </c>
    </row>
    <row r="3" spans="1:10">
      <c r="A3" s="49">
        <v>42917</v>
      </c>
      <c r="B3">
        <v>-41.95</v>
      </c>
      <c r="C3">
        <v>21.2</v>
      </c>
      <c r="D3">
        <v>10</v>
      </c>
      <c r="F3">
        <f t="shared" si="0"/>
        <v>1.6422476458333334E-4</v>
      </c>
      <c r="G3">
        <f t="shared" si="0"/>
        <v>5.6651892583333339E-5</v>
      </c>
      <c r="I3">
        <v>3.9413943499999999</v>
      </c>
      <c r="J3">
        <v>1.359645422</v>
      </c>
    </row>
    <row r="4" spans="1:10">
      <c r="A4" s="49">
        <v>42917</v>
      </c>
      <c r="B4">
        <v>-42.99423333</v>
      </c>
      <c r="C4">
        <v>29.99751667</v>
      </c>
      <c r="D4">
        <v>10</v>
      </c>
      <c r="E4">
        <f t="shared" ref="E4:E8" si="1">H4/1000/24</f>
        <v>4.1874584458333333E-4</v>
      </c>
      <c r="F4">
        <f t="shared" si="0"/>
        <v>4.4997129708333332E-4</v>
      </c>
      <c r="G4">
        <f t="shared" si="0"/>
        <v>5.312698975E-4</v>
      </c>
      <c r="H4">
        <v>10.04990027</v>
      </c>
      <c r="I4">
        <v>10.79931113</v>
      </c>
      <c r="J4">
        <v>12.75047754</v>
      </c>
    </row>
    <row r="5" spans="1:10">
      <c r="A5" s="49">
        <v>42917</v>
      </c>
      <c r="B5">
        <v>-44.35</v>
      </c>
      <c r="C5">
        <v>21.67</v>
      </c>
      <c r="D5">
        <v>10</v>
      </c>
      <c r="F5">
        <f t="shared" si="0"/>
        <v>1.2748093791666666E-4</v>
      </c>
      <c r="G5">
        <f t="shared" si="0"/>
        <v>4.3103629624999994E-4</v>
      </c>
      <c r="I5">
        <v>3.05954251</v>
      </c>
      <c r="J5">
        <v>10.34487111</v>
      </c>
    </row>
    <row r="6" spans="1:10">
      <c r="A6" s="49">
        <v>42917</v>
      </c>
      <c r="B6">
        <v>-47.999549999999999</v>
      </c>
      <c r="C6">
        <v>30.000833329999999</v>
      </c>
      <c r="D6">
        <v>10</v>
      </c>
      <c r="E6">
        <f t="shared" si="1"/>
        <v>5.3577389333333333E-4</v>
      </c>
      <c r="F6">
        <f t="shared" si="0"/>
        <v>2.7149012274999999E-4</v>
      </c>
      <c r="G6">
        <f t="shared" si="0"/>
        <v>2.4441703745833328E-4</v>
      </c>
      <c r="H6">
        <v>12.858573440000001</v>
      </c>
      <c r="I6">
        <v>6.5157629459999997</v>
      </c>
      <c r="J6">
        <v>5.8660088989999997</v>
      </c>
    </row>
    <row r="7" spans="1:10">
      <c r="A7" s="49">
        <v>42917</v>
      </c>
      <c r="B7">
        <v>-53.501616669999997</v>
      </c>
      <c r="C7">
        <v>29.9998</v>
      </c>
      <c r="D7">
        <v>10</v>
      </c>
      <c r="E7">
        <f t="shared" si="1"/>
        <v>1.8267874670833332E-4</v>
      </c>
      <c r="F7">
        <f t="shared" si="0"/>
        <v>8.8367798916666658E-5</v>
      </c>
      <c r="G7">
        <f t="shared" si="0"/>
        <v>8.107517983333333E-5</v>
      </c>
      <c r="H7">
        <v>4.3842899209999997</v>
      </c>
      <c r="I7">
        <v>2.120827174</v>
      </c>
      <c r="J7">
        <v>1.945804316</v>
      </c>
    </row>
    <row r="8" spans="1:10">
      <c r="A8" s="49">
        <v>42917</v>
      </c>
      <c r="B8">
        <v>-58.500833329999999</v>
      </c>
      <c r="C8">
        <v>30</v>
      </c>
      <c r="D8">
        <v>10</v>
      </c>
      <c r="E8">
        <f t="shared" si="1"/>
        <v>1.2601886224999998E-4</v>
      </c>
      <c r="F8">
        <f t="shared" si="0"/>
        <v>2.2964866874999998E-5</v>
      </c>
      <c r="G8">
        <f t="shared" si="0"/>
        <v>1.5494143370833335E-4</v>
      </c>
      <c r="H8">
        <v>3.0244526939999998</v>
      </c>
      <c r="I8">
        <v>0.55115680499999997</v>
      </c>
      <c r="J8">
        <v>3.718594409</v>
      </c>
    </row>
    <row r="13" spans="1:10">
      <c r="E13" s="10"/>
      <c r="F13" s="8"/>
      <c r="G13" s="7"/>
    </row>
  </sheetData>
  <phoneticPr fontId="2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F4CE-9F18-1E49-8B05-A417560FEC92}">
  <dimension ref="A1:J13"/>
  <sheetViews>
    <sheetView workbookViewId="0">
      <selection activeCell="C18" sqref="C18"/>
    </sheetView>
  </sheetViews>
  <sheetFormatPr baseColWidth="10" defaultRowHeight="20"/>
  <sheetData>
    <row r="1" spans="1:10">
      <c r="A1" s="50" t="s">
        <v>419</v>
      </c>
      <c r="B1" s="50" t="s">
        <v>4</v>
      </c>
      <c r="C1" s="50" t="s">
        <v>5</v>
      </c>
      <c r="D1" s="50" t="s">
        <v>383</v>
      </c>
      <c r="E1" s="10" t="s">
        <v>53</v>
      </c>
      <c r="F1" s="8" t="s">
        <v>52</v>
      </c>
      <c r="G1" s="7" t="s">
        <v>421</v>
      </c>
    </row>
    <row r="2" spans="1:10">
      <c r="A2" s="54">
        <v>43719</v>
      </c>
      <c r="B2" s="51">
        <v>-54.000166666666601</v>
      </c>
      <c r="C2" s="51">
        <v>-3.33333333333333E-4</v>
      </c>
      <c r="D2" s="51">
        <v>5</v>
      </c>
      <c r="E2" s="53">
        <v>3.9819086521081818E-3</v>
      </c>
      <c r="F2" s="53">
        <v>8.6249249010372526E-4</v>
      </c>
      <c r="G2" s="55">
        <v>7.3880092226900418E-3</v>
      </c>
      <c r="H2" s="53"/>
      <c r="I2" s="53"/>
      <c r="J2" s="52"/>
    </row>
    <row r="3" spans="1:10">
      <c r="A3" s="54">
        <v>43719</v>
      </c>
      <c r="B3" s="51">
        <v>-54.000166666666601</v>
      </c>
      <c r="C3" s="51">
        <v>-3.33333333333333E-4</v>
      </c>
      <c r="D3" s="51">
        <v>50</v>
      </c>
      <c r="E3" s="53">
        <v>4.805409296366585E-3</v>
      </c>
      <c r="F3" s="53">
        <v>1.260993195703371E-3</v>
      </c>
      <c r="G3" s="53">
        <v>8.4992175071103727E-3</v>
      </c>
      <c r="H3" s="53"/>
      <c r="I3" s="53"/>
      <c r="J3" s="52"/>
    </row>
    <row r="4" spans="1:10">
      <c r="A4" s="54">
        <v>43719</v>
      </c>
      <c r="B4" s="51">
        <v>-54.000166666666601</v>
      </c>
      <c r="C4" s="51">
        <v>-3.33333333333333E-4</v>
      </c>
      <c r="D4" s="51">
        <v>75</v>
      </c>
      <c r="E4" s="53">
        <v>5.4010617012014957E-3</v>
      </c>
      <c r="F4" s="53">
        <v>8.6025339309156598E-4</v>
      </c>
      <c r="G4" s="53">
        <v>9.1652504755259136E-3</v>
      </c>
      <c r="H4" s="53"/>
      <c r="I4" s="53"/>
      <c r="J4" s="52"/>
    </row>
    <row r="5" spans="1:10">
      <c r="A5" s="54">
        <v>43749</v>
      </c>
      <c r="B5" s="51">
        <v>-52.701000000000001</v>
      </c>
      <c r="C5" s="51">
        <v>-1.6666666666666601E-4</v>
      </c>
      <c r="D5" s="51">
        <v>5</v>
      </c>
      <c r="E5" s="53">
        <v>5.1222707634290543E-3</v>
      </c>
      <c r="F5" s="53">
        <v>6.4133199910375587E-4</v>
      </c>
      <c r="G5" s="53">
        <v>5.8086643953125273E-3</v>
      </c>
      <c r="H5" s="53"/>
      <c r="I5" s="53"/>
      <c r="J5" s="52"/>
    </row>
    <row r="6" spans="1:10">
      <c r="A6" s="54">
        <v>43749</v>
      </c>
      <c r="B6" s="51">
        <v>-52.701000000000001</v>
      </c>
      <c r="C6" s="51">
        <v>-1.6666666666666601E-4</v>
      </c>
      <c r="D6" s="51">
        <v>50</v>
      </c>
      <c r="E6" s="53">
        <v>5.9490647886950767E-3</v>
      </c>
      <c r="F6" s="53">
        <v>5.4378988105807994E-4</v>
      </c>
      <c r="G6" s="53">
        <v>5.247342249893901E-3</v>
      </c>
    </row>
    <row r="7" spans="1:10">
      <c r="A7" s="54">
        <v>43749</v>
      </c>
      <c r="B7" s="51">
        <v>-52.701000000000001</v>
      </c>
      <c r="C7" s="51">
        <v>-1.6666666666666601E-4</v>
      </c>
      <c r="D7" s="51">
        <v>75</v>
      </c>
      <c r="E7" s="53">
        <v>4.2773238686519017E-3</v>
      </c>
      <c r="F7" s="53">
        <v>7.4329998893788774E-4</v>
      </c>
      <c r="G7" s="53">
        <v>4.5854843764343931E-3</v>
      </c>
    </row>
    <row r="8" spans="1:10">
      <c r="A8" s="54">
        <v>43810</v>
      </c>
      <c r="B8" s="51">
        <v>-49.298666666666598</v>
      </c>
      <c r="C8" s="51">
        <v>2.3993333333333302</v>
      </c>
      <c r="D8" s="51">
        <v>5</v>
      </c>
      <c r="E8" s="53">
        <v>1.8494042709014131E-3</v>
      </c>
      <c r="F8" s="53">
        <v>7.3621829995357182E-4</v>
      </c>
      <c r="G8" s="53">
        <v>4.9259627626784992E-3</v>
      </c>
    </row>
    <row r="9" spans="1:10">
      <c r="A9" s="54">
        <v>43810</v>
      </c>
      <c r="B9" s="51">
        <v>-49.298666666666598</v>
      </c>
      <c r="C9" s="51">
        <v>2.3993333333333302</v>
      </c>
      <c r="D9" s="51">
        <v>50</v>
      </c>
      <c r="E9" s="53">
        <v>3.6030499901866905E-3</v>
      </c>
      <c r="F9" s="53">
        <v>6.6550270625166793E-4</v>
      </c>
      <c r="G9" s="53">
        <v>7.3621017728609274E-3</v>
      </c>
    </row>
    <row r="10" spans="1:10">
      <c r="A10" s="54">
        <v>43810</v>
      </c>
      <c r="B10" s="51">
        <v>-49.298666666666598</v>
      </c>
      <c r="C10" s="51">
        <v>2.3993333333333302</v>
      </c>
      <c r="D10" s="51">
        <v>75</v>
      </c>
      <c r="E10" s="53">
        <v>3.0952252591752924E-3</v>
      </c>
      <c r="F10" s="53">
        <v>7.6388760846131322E-4</v>
      </c>
      <c r="G10" s="53">
        <v>5.6530615699472552E-3</v>
      </c>
    </row>
    <row r="11" spans="1:10">
      <c r="A11" s="54">
        <v>43841</v>
      </c>
      <c r="B11" s="51">
        <v>-42.9985</v>
      </c>
      <c r="C11" s="51">
        <v>8.50766666666666</v>
      </c>
      <c r="D11" s="51">
        <v>5</v>
      </c>
      <c r="E11" s="53">
        <v>2.306009666689209E-3</v>
      </c>
      <c r="F11" s="53">
        <v>1.3323945909995752E-3</v>
      </c>
      <c r="G11" s="53">
        <v>4.8312504473853107E-3</v>
      </c>
    </row>
    <row r="12" spans="1:10">
      <c r="A12" s="54">
        <v>43841</v>
      </c>
      <c r="B12" s="51">
        <v>-42.9985</v>
      </c>
      <c r="C12" s="51">
        <v>8.50766666666666</v>
      </c>
      <c r="D12" s="51">
        <v>50</v>
      </c>
      <c r="E12" s="53">
        <v>3.3912741516286217E-3</v>
      </c>
      <c r="F12" s="53">
        <v>2.0402172876302638E-3</v>
      </c>
      <c r="G12" s="53">
        <v>5.3460929622834007E-3</v>
      </c>
    </row>
    <row r="13" spans="1:10">
      <c r="A13" s="54">
        <v>43841</v>
      </c>
      <c r="B13" s="51">
        <v>-42.9985</v>
      </c>
      <c r="C13" s="51">
        <v>8.50766666666666</v>
      </c>
      <c r="D13" s="51">
        <v>75</v>
      </c>
      <c r="E13" s="53">
        <v>1.0760817321212792E-3</v>
      </c>
      <c r="F13" s="53">
        <v>3.9730115108233818E-4</v>
      </c>
      <c r="G13" s="53">
        <v>2.2982503701911529E-3</v>
      </c>
    </row>
  </sheetData>
  <phoneticPr fontId="2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F132-7D3F-D749-A2CF-7C3CB3787358}">
  <dimension ref="A1:I29"/>
  <sheetViews>
    <sheetView workbookViewId="0">
      <selection activeCell="I28" sqref="I28"/>
    </sheetView>
  </sheetViews>
  <sheetFormatPr baseColWidth="10" defaultRowHeight="20"/>
  <cols>
    <col min="1" max="4" width="10.42578125" customWidth="1"/>
    <col min="5" max="5" width="21.28515625" bestFit="1" customWidth="1"/>
    <col min="6" max="6" width="18" bestFit="1" customWidth="1"/>
    <col min="7" max="7" width="17.42578125" bestFit="1" customWidth="1"/>
    <col min="8" max="8" width="17.5703125" bestFit="1" customWidth="1"/>
    <col min="9" max="9" width="15.5703125" bestFit="1" customWidth="1"/>
  </cols>
  <sheetData>
    <row r="1" spans="1:9">
      <c r="A1" t="s">
        <v>419</v>
      </c>
      <c r="B1" t="s">
        <v>4</v>
      </c>
      <c r="C1" t="s">
        <v>445</v>
      </c>
      <c r="D1" t="s">
        <v>383</v>
      </c>
      <c r="E1" s="10" t="s">
        <v>53</v>
      </c>
      <c r="F1" s="8" t="s">
        <v>52</v>
      </c>
      <c r="G1" s="7" t="s">
        <v>421</v>
      </c>
      <c r="H1" t="s">
        <v>369</v>
      </c>
      <c r="I1" t="s">
        <v>370</v>
      </c>
    </row>
    <row r="2" spans="1:9">
      <c r="A2" s="22">
        <v>42975</v>
      </c>
      <c r="B2" s="43">
        <v>68.018900000000002</v>
      </c>
      <c r="C2" s="43">
        <v>191.1645</v>
      </c>
      <c r="D2" s="43">
        <v>0</v>
      </c>
      <c r="E2" s="23">
        <v>819.4504771704004</v>
      </c>
      <c r="F2" s="23">
        <v>314.53234657855285</v>
      </c>
      <c r="G2" s="23">
        <v>145.80178838036426</v>
      </c>
      <c r="H2" s="24">
        <v>0.52167022666507756</v>
      </c>
      <c r="I2" s="24">
        <v>0.57916746176108969</v>
      </c>
    </row>
    <row r="3" spans="1:9">
      <c r="A3" s="22">
        <v>42975</v>
      </c>
      <c r="B3" s="43">
        <v>68.018900000000002</v>
      </c>
      <c r="C3" s="43">
        <v>191.1645</v>
      </c>
      <c r="D3" s="43">
        <v>9.6999999999999993</v>
      </c>
      <c r="E3" s="23">
        <v>743.36656859461254</v>
      </c>
      <c r="F3" s="25">
        <v>87.822497953207687</v>
      </c>
      <c r="G3" s="23">
        <v>122.08805426270899</v>
      </c>
      <c r="H3" s="24">
        <v>0.39029047413113221</v>
      </c>
      <c r="I3" s="24">
        <v>2.104285312234897</v>
      </c>
    </row>
    <row r="4" spans="1:9">
      <c r="A4" s="22">
        <v>42975</v>
      </c>
      <c r="B4" s="43">
        <v>68.018900000000002</v>
      </c>
      <c r="C4" s="43">
        <v>191.1645</v>
      </c>
      <c r="D4" s="43">
        <v>19.7</v>
      </c>
      <c r="E4" s="23">
        <v>138.96923623266593</v>
      </c>
      <c r="F4" s="25">
        <v>39.706305975787892</v>
      </c>
      <c r="G4" s="25">
        <v>23.395890527658416</v>
      </c>
      <c r="H4" s="24">
        <v>0.60155754799164174</v>
      </c>
      <c r="I4" s="24">
        <v>1.5753554163891819</v>
      </c>
    </row>
    <row r="5" spans="1:9">
      <c r="A5" s="22">
        <v>42975</v>
      </c>
      <c r="B5" s="43">
        <v>68.018900000000002</v>
      </c>
      <c r="C5" s="43">
        <v>191.1645</v>
      </c>
      <c r="D5" s="43">
        <v>29.4</v>
      </c>
      <c r="E5" s="23">
        <v>177.03103102762901</v>
      </c>
      <c r="F5" s="24">
        <v>7.0939388184940846</v>
      </c>
      <c r="G5" s="25">
        <v>44.6521408372789</v>
      </c>
      <c r="H5" s="24">
        <v>4.2854592863959313</v>
      </c>
      <c r="I5" s="24">
        <v>5.22701348780173</v>
      </c>
    </row>
    <row r="6" spans="1:9">
      <c r="A6" s="22">
        <v>42975</v>
      </c>
      <c r="B6" s="43">
        <v>68.018900000000002</v>
      </c>
      <c r="C6" s="43">
        <v>191.1645</v>
      </c>
      <c r="D6" s="43">
        <v>52.9</v>
      </c>
      <c r="E6" s="23">
        <v>102.65679069930906</v>
      </c>
      <c r="F6" s="24">
        <v>9.062047934432977</v>
      </c>
      <c r="G6" s="25">
        <v>24.835249806202544</v>
      </c>
      <c r="H6" s="24">
        <v>6.3866235312185751</v>
      </c>
      <c r="I6" s="24">
        <v>5.2540566032107492</v>
      </c>
    </row>
    <row r="7" spans="1:9">
      <c r="A7" s="1">
        <v>42995</v>
      </c>
      <c r="B7">
        <v>72.498800000000003</v>
      </c>
      <c r="C7">
        <v>191.2526</v>
      </c>
      <c r="D7">
        <v>0</v>
      </c>
      <c r="E7" s="27">
        <v>175.7302253162695</v>
      </c>
      <c r="F7" s="26">
        <v>76.348695779972246</v>
      </c>
      <c r="G7" s="26">
        <v>61.852904093686135</v>
      </c>
      <c r="H7" s="28" t="s">
        <v>371</v>
      </c>
      <c r="I7" s="28" t="s">
        <v>372</v>
      </c>
    </row>
    <row r="8" spans="1:9">
      <c r="A8" s="1">
        <v>42995</v>
      </c>
      <c r="B8">
        <v>72.498800000000003</v>
      </c>
      <c r="C8">
        <v>191.2526</v>
      </c>
      <c r="D8">
        <v>16.7</v>
      </c>
      <c r="E8" s="26">
        <v>69.983652876077301</v>
      </c>
      <c r="F8" s="26">
        <v>43.314862986998286</v>
      </c>
      <c r="G8" s="26">
        <v>13.535288895775214</v>
      </c>
      <c r="H8" s="28" t="s">
        <v>372</v>
      </c>
      <c r="I8" s="28" t="s">
        <v>372</v>
      </c>
    </row>
    <row r="9" spans="1:9">
      <c r="A9" s="1">
        <v>42995</v>
      </c>
      <c r="B9">
        <v>72.498800000000003</v>
      </c>
      <c r="C9">
        <v>191.2526</v>
      </c>
      <c r="D9">
        <v>34.6</v>
      </c>
      <c r="E9" s="26">
        <v>20.289116182175899</v>
      </c>
      <c r="F9" s="29">
        <v>5.6795629579500568</v>
      </c>
      <c r="G9" s="29">
        <v>8.4238113387039597</v>
      </c>
      <c r="H9" s="30">
        <v>2.2329237044828703</v>
      </c>
      <c r="I9" s="31">
        <v>10.011188626286202</v>
      </c>
    </row>
    <row r="10" spans="1:9">
      <c r="A10" s="1">
        <v>42995</v>
      </c>
      <c r="B10">
        <v>72.498800000000003</v>
      </c>
      <c r="C10">
        <v>191.2526</v>
      </c>
      <c r="D10">
        <v>42.5</v>
      </c>
      <c r="E10" s="26">
        <v>28.480712943780571</v>
      </c>
      <c r="F10" s="29">
        <v>8.430083394018471</v>
      </c>
      <c r="G10" s="26">
        <v>16.93572243387468</v>
      </c>
      <c r="H10" s="30">
        <v>2.4577449602115724</v>
      </c>
      <c r="I10" s="31">
        <v>11.714882303320589</v>
      </c>
    </row>
    <row r="11" spans="1:9">
      <c r="A11" s="1">
        <v>42995</v>
      </c>
      <c r="B11">
        <v>72.498800000000003</v>
      </c>
      <c r="C11">
        <v>191.2526</v>
      </c>
      <c r="D11">
        <v>53.3</v>
      </c>
      <c r="E11" s="26">
        <v>21.963622011390733</v>
      </c>
      <c r="F11" s="29">
        <v>3.9820928549148067</v>
      </c>
      <c r="G11" s="29">
        <v>5.3170516582724705</v>
      </c>
      <c r="H11" s="30">
        <v>2.8243099721268528</v>
      </c>
      <c r="I11" s="31">
        <v>11.068963770537</v>
      </c>
    </row>
    <row r="12" spans="1:9">
      <c r="A12" s="22">
        <v>42977</v>
      </c>
      <c r="B12" s="43">
        <v>72.799199999999999</v>
      </c>
      <c r="C12" s="43">
        <v>198.65289999999999</v>
      </c>
      <c r="D12" s="43">
        <v>0</v>
      </c>
      <c r="E12" s="23">
        <v>152.11392426871097</v>
      </c>
      <c r="F12" s="23">
        <v>148.25071547400336</v>
      </c>
      <c r="G12" s="25">
        <v>67.337999999999994</v>
      </c>
      <c r="H12" s="32" t="s">
        <v>372</v>
      </c>
      <c r="I12" s="32" t="s">
        <v>372</v>
      </c>
    </row>
    <row r="13" spans="1:9">
      <c r="A13" s="22">
        <v>42977</v>
      </c>
      <c r="B13" s="43">
        <v>72.799199999999999</v>
      </c>
      <c r="C13" s="43">
        <v>198.65289999999999</v>
      </c>
      <c r="D13" s="43">
        <v>19.899999999999999</v>
      </c>
      <c r="E13" s="25">
        <v>81.837741767478704</v>
      </c>
      <c r="F13" s="25">
        <v>34.85182292014207</v>
      </c>
      <c r="G13" s="25">
        <v>13.3741</v>
      </c>
      <c r="H13" s="33">
        <v>9.0844770471454228E-2</v>
      </c>
      <c r="I13" s="32" t="s">
        <v>372</v>
      </c>
    </row>
    <row r="14" spans="1:9">
      <c r="A14" s="22">
        <v>42977</v>
      </c>
      <c r="B14" s="43">
        <v>72.799199999999999</v>
      </c>
      <c r="C14" s="43">
        <v>198.65289999999999</v>
      </c>
      <c r="D14" s="43">
        <v>39.700000000000003</v>
      </c>
      <c r="E14" s="23">
        <v>133.97259036218355</v>
      </c>
      <c r="F14" s="25">
        <v>30.3156088872704</v>
      </c>
      <c r="G14" s="24">
        <v>0.46560000000000001</v>
      </c>
      <c r="H14" s="33">
        <v>2.9627884736716226</v>
      </c>
      <c r="I14" s="33">
        <v>1.3218433458710785</v>
      </c>
    </row>
    <row r="15" spans="1:9">
      <c r="A15" s="22">
        <v>42977</v>
      </c>
      <c r="B15" s="43">
        <v>72.799199999999999</v>
      </c>
      <c r="C15" s="43">
        <v>198.65289999999999</v>
      </c>
      <c r="D15" s="43">
        <v>44.2</v>
      </c>
      <c r="E15" s="25">
        <v>74.039032205998808</v>
      </c>
      <c r="F15" s="25">
        <v>26.858976368752515</v>
      </c>
      <c r="G15" s="24">
        <v>1.3952</v>
      </c>
      <c r="H15" s="33">
        <v>3.2894064592792089</v>
      </c>
      <c r="I15" s="33">
        <v>1.3587889595575617</v>
      </c>
    </row>
    <row r="16" spans="1:9">
      <c r="A16" s="1">
        <v>42981</v>
      </c>
      <c r="B16">
        <v>71.569400000000002</v>
      </c>
      <c r="C16">
        <v>207.99850000000001</v>
      </c>
      <c r="D16">
        <v>0</v>
      </c>
      <c r="E16" s="26">
        <v>92.991950861525126</v>
      </c>
      <c r="F16" s="27">
        <v>115.3952493392049</v>
      </c>
      <c r="G16" s="26">
        <v>48.020357822966268</v>
      </c>
      <c r="H16" s="28" t="s">
        <v>372</v>
      </c>
      <c r="I16" s="28" t="s">
        <v>372</v>
      </c>
    </row>
    <row r="17" spans="1:9">
      <c r="A17" s="1">
        <v>42981</v>
      </c>
      <c r="B17">
        <v>71.569400000000002</v>
      </c>
      <c r="C17">
        <v>207.99850000000001</v>
      </c>
      <c r="D17">
        <v>19.8</v>
      </c>
      <c r="E17" s="26">
        <v>41.634468627485859</v>
      </c>
      <c r="F17" s="26">
        <v>27.187534581107723</v>
      </c>
      <c r="G17" s="29">
        <v>3.9929102758116168</v>
      </c>
      <c r="H17" s="28" t="s">
        <v>372</v>
      </c>
      <c r="I17" s="28" t="s">
        <v>372</v>
      </c>
    </row>
    <row r="18" spans="1:9">
      <c r="A18" s="1">
        <v>42981</v>
      </c>
      <c r="B18">
        <v>71.569400000000002</v>
      </c>
      <c r="C18">
        <v>207.99850000000001</v>
      </c>
      <c r="D18">
        <v>46.6</v>
      </c>
      <c r="E18" s="26">
        <v>12.601910224082689</v>
      </c>
      <c r="F18" s="29">
        <v>3.0307193003577488</v>
      </c>
      <c r="G18" s="26">
        <v>10.565536795287452</v>
      </c>
      <c r="H18" s="31">
        <v>12.683195149412541</v>
      </c>
      <c r="I18" s="30">
        <v>4.666479971905825</v>
      </c>
    </row>
    <row r="19" spans="1:9">
      <c r="A19" s="1">
        <v>42981</v>
      </c>
      <c r="B19">
        <v>71.569400000000002</v>
      </c>
      <c r="C19">
        <v>207.99850000000001</v>
      </c>
      <c r="D19">
        <v>72.400000000000006</v>
      </c>
      <c r="E19" s="26">
        <v>26.973439626834875</v>
      </c>
      <c r="F19" s="29">
        <v>1.4894096083612025</v>
      </c>
      <c r="G19" s="29">
        <v>9.0778230265271649</v>
      </c>
      <c r="H19" s="31"/>
      <c r="I19" s="30">
        <v>8.5830264209631331</v>
      </c>
    </row>
    <row r="20" spans="1:9">
      <c r="A20" s="1">
        <v>42981</v>
      </c>
      <c r="B20">
        <v>71.569400000000002</v>
      </c>
      <c r="C20">
        <v>207.99850000000001</v>
      </c>
      <c r="D20">
        <v>99.3</v>
      </c>
      <c r="E20" s="29">
        <v>2.7186273397320373</v>
      </c>
      <c r="F20" s="29">
        <v>0.62577812824462375</v>
      </c>
      <c r="G20" s="26">
        <v>10.992659413837691</v>
      </c>
      <c r="H20" s="31">
        <v>11.701536559279084</v>
      </c>
      <c r="I20" s="30">
        <v>2.7824279524616804</v>
      </c>
    </row>
    <row r="21" spans="1:9">
      <c r="A21" s="22">
        <v>42986</v>
      </c>
      <c r="B21" s="43">
        <v>73.996899999999997</v>
      </c>
      <c r="C21" s="43">
        <v>203.93870000000001</v>
      </c>
      <c r="D21" s="43">
        <v>0</v>
      </c>
      <c r="E21" s="25">
        <v>30.659979180526783</v>
      </c>
      <c r="F21" s="25">
        <v>11.730250183029117</v>
      </c>
      <c r="G21" s="24">
        <v>1.379961919147535</v>
      </c>
      <c r="H21" s="32" t="s">
        <v>372</v>
      </c>
      <c r="I21" s="32" t="s">
        <v>372</v>
      </c>
    </row>
    <row r="22" spans="1:9">
      <c r="A22" s="22">
        <v>42986</v>
      </c>
      <c r="B22" s="43">
        <v>73.996099999999998</v>
      </c>
      <c r="C22" s="43">
        <v>203.97470000000001</v>
      </c>
      <c r="D22" s="43">
        <v>34</v>
      </c>
      <c r="E22" s="25">
        <v>26.321737399276579</v>
      </c>
      <c r="F22" s="25">
        <v>17.430130749800931</v>
      </c>
      <c r="G22" s="24">
        <v>4.0223499512171896</v>
      </c>
      <c r="H22" s="32" t="s">
        <v>372</v>
      </c>
      <c r="I22" s="32" t="s">
        <v>372</v>
      </c>
    </row>
    <row r="23" spans="1:9">
      <c r="A23" s="22">
        <v>42986</v>
      </c>
      <c r="B23" s="43">
        <v>73.996099999999998</v>
      </c>
      <c r="C23" s="43">
        <v>203.97470000000001</v>
      </c>
      <c r="D23" s="43">
        <v>72.8</v>
      </c>
      <c r="E23" s="25">
        <v>12.144064958279959</v>
      </c>
      <c r="F23" s="24">
        <v>4.2736004792708364</v>
      </c>
      <c r="G23" s="24">
        <v>0.37979388435285821</v>
      </c>
      <c r="H23" s="32" t="s">
        <v>372</v>
      </c>
      <c r="I23" s="32" t="s">
        <v>372</v>
      </c>
    </row>
    <row r="24" spans="1:9">
      <c r="A24" s="22">
        <v>42986</v>
      </c>
      <c r="B24" s="43">
        <v>73.996099999999998</v>
      </c>
      <c r="C24" s="43">
        <v>203.97470000000001</v>
      </c>
      <c r="D24" s="43">
        <v>101.7</v>
      </c>
      <c r="E24" s="24">
        <v>4.2446194310004488</v>
      </c>
      <c r="F24" s="24">
        <v>0.24292215641187515</v>
      </c>
      <c r="G24" s="23">
        <v>0</v>
      </c>
      <c r="H24" s="34">
        <v>32.057416864922033</v>
      </c>
      <c r="I24" s="33">
        <v>7.7767221150164207</v>
      </c>
    </row>
    <row r="25" spans="1:9">
      <c r="A25" s="1">
        <v>42992</v>
      </c>
      <c r="B25">
        <v>75.003699999999995</v>
      </c>
      <c r="C25">
        <v>195.0009</v>
      </c>
      <c r="D25">
        <v>0</v>
      </c>
      <c r="E25" s="26">
        <v>48.167400000000001</v>
      </c>
      <c r="F25" s="26">
        <v>44.390735751426988</v>
      </c>
      <c r="G25" s="26">
        <v>23.813687223227557</v>
      </c>
      <c r="H25" s="28" t="s">
        <v>372</v>
      </c>
      <c r="I25" s="28" t="s">
        <v>372</v>
      </c>
    </row>
    <row r="26" spans="1:9">
      <c r="A26" s="1">
        <v>42992</v>
      </c>
      <c r="B26">
        <v>75.003699999999995</v>
      </c>
      <c r="C26">
        <v>195.0009</v>
      </c>
      <c r="D26">
        <v>20.8</v>
      </c>
      <c r="E26" s="26">
        <v>62.456099999999999</v>
      </c>
      <c r="F26" s="26">
        <v>39.975339255297051</v>
      </c>
      <c r="G26" s="26">
        <v>13.26104234005582</v>
      </c>
      <c r="H26" s="28" t="s">
        <v>372</v>
      </c>
      <c r="I26" s="28" t="s">
        <v>372</v>
      </c>
    </row>
    <row r="27" spans="1:9">
      <c r="A27" s="1">
        <v>42992</v>
      </c>
      <c r="B27">
        <v>75.003699999999995</v>
      </c>
      <c r="C27">
        <v>195.0009</v>
      </c>
      <c r="D27">
        <v>55.2</v>
      </c>
      <c r="E27" s="29">
        <v>4.2202999999999999</v>
      </c>
      <c r="F27" s="29">
        <v>2.050739261520909</v>
      </c>
      <c r="G27" s="29">
        <v>1.6488460529794497</v>
      </c>
      <c r="H27" s="29">
        <v>4.1102764857827587</v>
      </c>
      <c r="I27" s="29">
        <v>0.12773067981948233</v>
      </c>
    </row>
    <row r="28" spans="1:9">
      <c r="A28" s="1">
        <v>42992</v>
      </c>
      <c r="B28">
        <v>75.003699999999995</v>
      </c>
      <c r="C28">
        <v>195.0009</v>
      </c>
      <c r="D28">
        <v>87.2</v>
      </c>
      <c r="E28" s="29">
        <v>3.5383</v>
      </c>
      <c r="F28" s="29">
        <v>0.27015429801627983</v>
      </c>
      <c r="G28" s="26">
        <v>16.354453855761712</v>
      </c>
      <c r="H28" s="26">
        <v>13.654008594796544</v>
      </c>
      <c r="I28" s="29">
        <v>5.6856518183477833</v>
      </c>
    </row>
    <row r="29" spans="1:9">
      <c r="A29" s="1">
        <v>42992</v>
      </c>
      <c r="B29">
        <v>75.003699999999995</v>
      </c>
      <c r="C29">
        <v>195.0009</v>
      </c>
      <c r="D29">
        <v>98.7</v>
      </c>
      <c r="E29" s="29">
        <v>0.63770000000000004</v>
      </c>
      <c r="F29" s="29">
        <v>0.26202711592899075</v>
      </c>
      <c r="G29" s="29">
        <v>9.4599998796694393</v>
      </c>
      <c r="H29" s="26">
        <v>11.246979397466649</v>
      </c>
      <c r="I29" s="29">
        <v>6.6564963821773322</v>
      </c>
    </row>
  </sheetData>
  <phoneticPr fontId="2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A519-AC37-8247-B655-5AF203B471C9}">
  <dimension ref="A1:G25"/>
  <sheetViews>
    <sheetView workbookViewId="0">
      <selection activeCell="D2" sqref="D2"/>
    </sheetView>
  </sheetViews>
  <sheetFormatPr baseColWidth="10" defaultRowHeight="20"/>
  <cols>
    <col min="1" max="1" width="10.42578125" bestFit="1" customWidth="1"/>
    <col min="2" max="2" width="8.28515625" bestFit="1" customWidth="1"/>
    <col min="3" max="3" width="9.7109375" bestFit="1" customWidth="1"/>
    <col min="4" max="4" width="16" bestFit="1" customWidth="1"/>
    <col min="5" max="5" width="37.85546875" bestFit="1" customWidth="1"/>
    <col min="6" max="6" width="38.140625" bestFit="1" customWidth="1"/>
    <col min="7" max="7" width="37.85546875" bestFit="1" customWidth="1"/>
  </cols>
  <sheetData>
    <row r="1" spans="1:7">
      <c r="A1" t="s">
        <v>419</v>
      </c>
      <c r="B1" t="s">
        <v>4</v>
      </c>
      <c r="C1" t="s">
        <v>5</v>
      </c>
      <c r="D1" t="s">
        <v>383</v>
      </c>
      <c r="E1" s="10" t="s">
        <v>53</v>
      </c>
      <c r="F1" s="8" t="s">
        <v>52</v>
      </c>
      <c r="G1" s="7" t="s">
        <v>421</v>
      </c>
    </row>
    <row r="2" spans="1:7">
      <c r="A2" s="1">
        <v>42616</v>
      </c>
      <c r="B2">
        <v>64.739999999999995</v>
      </c>
      <c r="C2">
        <v>-167.12</v>
      </c>
      <c r="D2">
        <v>1</v>
      </c>
      <c r="E2">
        <v>6.7000000000000004E-2</v>
      </c>
      <c r="F2">
        <v>8.0000000000000002E-3</v>
      </c>
      <c r="G2">
        <v>6.0000000000000001E-3</v>
      </c>
    </row>
    <row r="3" spans="1:7">
      <c r="A3" s="1">
        <v>42619</v>
      </c>
      <c r="B3">
        <v>71.39</v>
      </c>
      <c r="C3">
        <v>-152.03</v>
      </c>
      <c r="D3">
        <v>1</v>
      </c>
      <c r="E3">
        <v>6.0000000000000001E-3</v>
      </c>
      <c r="F3">
        <v>8.0000000000000002E-3</v>
      </c>
      <c r="G3">
        <v>1E-3</v>
      </c>
    </row>
    <row r="4" spans="1:7">
      <c r="A4" s="1">
        <v>42621</v>
      </c>
      <c r="B4">
        <v>71.510000000000005</v>
      </c>
      <c r="C4">
        <v>-151.97</v>
      </c>
      <c r="D4">
        <v>1</v>
      </c>
      <c r="E4">
        <v>0.01</v>
      </c>
      <c r="F4">
        <v>1E-3</v>
      </c>
      <c r="G4">
        <v>1E-3</v>
      </c>
    </row>
    <row r="5" spans="1:7">
      <c r="A5" s="1">
        <v>42618</v>
      </c>
      <c r="B5">
        <v>71.650000000000006</v>
      </c>
      <c r="C5">
        <v>-159.94999999999999</v>
      </c>
      <c r="D5">
        <v>1</v>
      </c>
      <c r="E5">
        <v>3.0000000000000001E-3</v>
      </c>
      <c r="F5">
        <v>2E-3</v>
      </c>
      <c r="G5">
        <v>0</v>
      </c>
    </row>
    <row r="6" spans="1:7">
      <c r="A6" s="1">
        <v>42619</v>
      </c>
      <c r="B6">
        <v>71.94</v>
      </c>
      <c r="C6">
        <v>-158.69</v>
      </c>
      <c r="D6">
        <v>1</v>
      </c>
      <c r="E6">
        <v>5.0000000000000001E-3</v>
      </c>
      <c r="F6">
        <v>1E-3</v>
      </c>
      <c r="G6">
        <v>1E-3</v>
      </c>
    </row>
    <row r="7" spans="1:7">
      <c r="A7" s="1">
        <v>42624</v>
      </c>
      <c r="B7">
        <v>70.97</v>
      </c>
      <c r="C7">
        <v>-161.9</v>
      </c>
      <c r="D7">
        <v>1</v>
      </c>
      <c r="E7">
        <v>0.01</v>
      </c>
      <c r="F7">
        <v>5.0000000000000001E-3</v>
      </c>
      <c r="G7">
        <v>1E-3</v>
      </c>
    </row>
    <row r="8" spans="1:7">
      <c r="A8" s="1">
        <v>42625</v>
      </c>
      <c r="B8">
        <v>71.62</v>
      </c>
      <c r="C8">
        <v>-163.77000000000001</v>
      </c>
      <c r="D8">
        <v>3.1</v>
      </c>
      <c r="E8">
        <v>2.1000000000000001E-2</v>
      </c>
      <c r="F8">
        <v>1E-3</v>
      </c>
      <c r="G8">
        <v>2E-3</v>
      </c>
    </row>
    <row r="9" spans="1:7">
      <c r="A9" s="1">
        <v>42626</v>
      </c>
      <c r="B9">
        <v>71.23</v>
      </c>
      <c r="C9">
        <v>-160.55000000000001</v>
      </c>
      <c r="D9">
        <v>20</v>
      </c>
      <c r="E9">
        <v>4.0000000000000001E-3</v>
      </c>
      <c r="F9">
        <v>2E-3</v>
      </c>
      <c r="G9">
        <v>0</v>
      </c>
    </row>
    <row r="10" spans="1:7">
      <c r="A10" s="1">
        <v>42627</v>
      </c>
      <c r="B10">
        <v>72.05</v>
      </c>
      <c r="C10">
        <v>-162.43</v>
      </c>
      <c r="D10">
        <v>1</v>
      </c>
      <c r="E10">
        <v>2.9000000000000001E-2</v>
      </c>
      <c r="F10">
        <v>3.0000000000000001E-3</v>
      </c>
      <c r="G10">
        <v>1E-3</v>
      </c>
    </row>
    <row r="11" spans="1:7">
      <c r="A11" s="1">
        <v>42627</v>
      </c>
      <c r="B11">
        <v>71.86</v>
      </c>
      <c r="C11">
        <v>-161.27000000000001</v>
      </c>
      <c r="D11">
        <v>1</v>
      </c>
      <c r="E11">
        <v>2.4E-2</v>
      </c>
      <c r="F11">
        <v>1E-3</v>
      </c>
      <c r="G11">
        <v>1E-3</v>
      </c>
    </row>
    <row r="12" spans="1:7">
      <c r="A12" s="1">
        <v>42629</v>
      </c>
      <c r="B12">
        <v>72.150000000000006</v>
      </c>
      <c r="C12">
        <v>-158.85</v>
      </c>
      <c r="D12">
        <v>26</v>
      </c>
      <c r="E12">
        <v>0</v>
      </c>
      <c r="F12">
        <v>0</v>
      </c>
      <c r="G12">
        <v>0</v>
      </c>
    </row>
    <row r="13" spans="1:7">
      <c r="A13" s="1">
        <v>42630</v>
      </c>
      <c r="B13">
        <v>72.05</v>
      </c>
      <c r="C13">
        <v>-162.43</v>
      </c>
      <c r="D13">
        <v>21</v>
      </c>
      <c r="E13">
        <v>2E-3</v>
      </c>
      <c r="F13">
        <v>1E-3</v>
      </c>
      <c r="G13">
        <v>0</v>
      </c>
    </row>
    <row r="14" spans="1:7">
      <c r="A14" s="1">
        <v>42631</v>
      </c>
      <c r="B14">
        <v>71.22</v>
      </c>
      <c r="C14">
        <v>-160.55000000000001</v>
      </c>
      <c r="D14">
        <v>24</v>
      </c>
      <c r="E14">
        <v>4.0000000000000001E-3</v>
      </c>
      <c r="F14">
        <v>1E-3</v>
      </c>
      <c r="G14">
        <v>0</v>
      </c>
    </row>
    <row r="15" spans="1:7">
      <c r="A15" s="1">
        <v>42942</v>
      </c>
      <c r="B15">
        <v>70.760000000000005</v>
      </c>
      <c r="C15">
        <v>-151.19999999999999</v>
      </c>
      <c r="D15">
        <v>1.9</v>
      </c>
      <c r="E15">
        <v>7.0000000000000001E-3</v>
      </c>
      <c r="F15">
        <v>1E-3</v>
      </c>
      <c r="G15">
        <v>1E-3</v>
      </c>
    </row>
    <row r="16" spans="1:7">
      <c r="A16" s="1">
        <v>42943</v>
      </c>
      <c r="B16">
        <v>70.7</v>
      </c>
      <c r="C16">
        <v>-160.96</v>
      </c>
      <c r="D16">
        <v>1.7</v>
      </c>
      <c r="E16">
        <v>2.3E-2</v>
      </c>
      <c r="F16">
        <v>3.0000000000000001E-3</v>
      </c>
      <c r="G16">
        <v>3.0000000000000001E-3</v>
      </c>
    </row>
    <row r="17" spans="1:7">
      <c r="A17" s="1">
        <v>42944</v>
      </c>
      <c r="B17">
        <v>70.98</v>
      </c>
      <c r="C17">
        <v>-159.91</v>
      </c>
      <c r="D17">
        <v>2.2000000000000002</v>
      </c>
      <c r="E17">
        <v>1.4E-2</v>
      </c>
      <c r="F17">
        <v>3.0000000000000001E-3</v>
      </c>
      <c r="G17">
        <v>2E-3</v>
      </c>
    </row>
    <row r="18" spans="1:7">
      <c r="A18" s="1">
        <v>42945</v>
      </c>
      <c r="B18">
        <v>71.319999999999993</v>
      </c>
      <c r="C18">
        <v>-156.76</v>
      </c>
      <c r="D18">
        <v>1.9</v>
      </c>
      <c r="E18">
        <v>5.0999999999999997E-2</v>
      </c>
      <c r="F18">
        <v>3.0000000000000001E-3</v>
      </c>
      <c r="G18">
        <v>1.2E-2</v>
      </c>
    </row>
    <row r="19" spans="1:7">
      <c r="A19" s="1">
        <v>42950</v>
      </c>
      <c r="B19">
        <v>71.180000000000007</v>
      </c>
      <c r="C19">
        <v>-155.54</v>
      </c>
      <c r="D19">
        <v>1.6</v>
      </c>
      <c r="E19">
        <v>4.9000000000000002E-2</v>
      </c>
      <c r="F19">
        <v>6.0000000000000001E-3</v>
      </c>
      <c r="G19">
        <v>2.8000000000000001E-2</v>
      </c>
    </row>
    <row r="20" spans="1:7">
      <c r="A20" s="1">
        <v>42956</v>
      </c>
      <c r="B20">
        <v>71.58</v>
      </c>
      <c r="C20">
        <v>-157.83000000000001</v>
      </c>
      <c r="D20">
        <v>44</v>
      </c>
      <c r="E20">
        <v>5.0000000000000001E-3</v>
      </c>
      <c r="F20">
        <v>0</v>
      </c>
      <c r="G20">
        <v>7.0000000000000001E-3</v>
      </c>
    </row>
    <row r="21" spans="1:7">
      <c r="A21" s="1">
        <v>42957</v>
      </c>
      <c r="B21">
        <v>71.25</v>
      </c>
      <c r="C21">
        <v>-157.16</v>
      </c>
      <c r="D21">
        <v>3.5</v>
      </c>
      <c r="E21">
        <v>7.0000000000000001E-3</v>
      </c>
      <c r="F21">
        <v>3.0000000000000001E-3</v>
      </c>
      <c r="G21">
        <v>1E-3</v>
      </c>
    </row>
    <row r="22" spans="1:7">
      <c r="A22" s="1">
        <v>42958</v>
      </c>
      <c r="B22">
        <v>72.05</v>
      </c>
      <c r="C22">
        <v>-163.43</v>
      </c>
      <c r="D22">
        <v>3.8</v>
      </c>
      <c r="E22">
        <v>2.9000000000000001E-2</v>
      </c>
      <c r="F22">
        <v>7.0000000000000001E-3</v>
      </c>
      <c r="G22">
        <v>4.0000000000000001E-3</v>
      </c>
    </row>
    <row r="23" spans="1:7">
      <c r="A23" s="1">
        <v>42959</v>
      </c>
      <c r="B23">
        <v>70.98</v>
      </c>
      <c r="C23">
        <v>-159.91</v>
      </c>
      <c r="D23">
        <v>3.5</v>
      </c>
      <c r="E23">
        <v>8.9999999999999993E-3</v>
      </c>
      <c r="F23">
        <v>4.0000000000000001E-3</v>
      </c>
      <c r="G23">
        <v>2E-3</v>
      </c>
    </row>
    <row r="24" spans="1:7">
      <c r="A24" s="1">
        <v>42961</v>
      </c>
      <c r="B24">
        <v>72.55</v>
      </c>
      <c r="C24">
        <v>-159.16999999999999</v>
      </c>
      <c r="D24">
        <v>36</v>
      </c>
      <c r="E24">
        <v>2E-3</v>
      </c>
      <c r="F24">
        <v>0</v>
      </c>
      <c r="G24">
        <v>2E-3</v>
      </c>
    </row>
    <row r="25" spans="1:7">
      <c r="A25" s="1">
        <v>42966</v>
      </c>
      <c r="B25">
        <v>71.489999999999995</v>
      </c>
      <c r="C25">
        <v>-163.38999999999999</v>
      </c>
      <c r="D25">
        <v>30</v>
      </c>
      <c r="E25">
        <v>3.0000000000000001E-3</v>
      </c>
      <c r="F25">
        <v>2E-3</v>
      </c>
      <c r="G25">
        <v>4.0000000000000001E-3</v>
      </c>
    </row>
  </sheetData>
  <phoneticPr fontId="2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5AF3-A7F8-DF40-BD0C-11D67F40C598}">
  <dimension ref="A1:G14"/>
  <sheetViews>
    <sheetView workbookViewId="0">
      <selection activeCell="K25" sqref="K25"/>
    </sheetView>
  </sheetViews>
  <sheetFormatPr baseColWidth="10" defaultRowHeight="20"/>
  <sheetData>
    <row r="1" spans="1:7">
      <c r="A1" t="s">
        <v>419</v>
      </c>
      <c r="B1" t="s">
        <v>5</v>
      </c>
      <c r="C1" t="s">
        <v>4</v>
      </c>
      <c r="D1" t="s">
        <v>383</v>
      </c>
      <c r="E1" s="10" t="s">
        <v>53</v>
      </c>
      <c r="F1" s="8" t="s">
        <v>52</v>
      </c>
      <c r="G1" s="7" t="s">
        <v>421</v>
      </c>
    </row>
    <row r="2" spans="1:7">
      <c r="A2" s="1">
        <v>44791</v>
      </c>
      <c r="B2">
        <v>-168.27029999999999</v>
      </c>
      <c r="C2">
        <v>65.646699999999996</v>
      </c>
      <c r="D2">
        <v>2</v>
      </c>
      <c r="E2">
        <v>2.97E-3</v>
      </c>
      <c r="F2">
        <v>8.9700000000000005E-3</v>
      </c>
      <c r="G2">
        <v>3.3999999999999998E-3</v>
      </c>
    </row>
    <row r="3" spans="1:7">
      <c r="A3" s="1">
        <v>44793</v>
      </c>
      <c r="B3">
        <v>-168.70079999999999</v>
      </c>
      <c r="C3">
        <v>66.5017</v>
      </c>
      <c r="D3">
        <v>2</v>
      </c>
      <c r="E3">
        <v>3.3700000000000002E-3</v>
      </c>
      <c r="F3">
        <v>3.4199999999999999E-3</v>
      </c>
      <c r="G3">
        <v>3.832E-2</v>
      </c>
    </row>
    <row r="4" spans="1:7">
      <c r="A4" s="1">
        <v>44796</v>
      </c>
      <c r="B4">
        <v>-167.10230000000001</v>
      </c>
      <c r="C4">
        <v>68.242699999999999</v>
      </c>
      <c r="D4">
        <v>2</v>
      </c>
      <c r="E4">
        <v>9.7999999999999997E-4</v>
      </c>
      <c r="F4">
        <v>1.4399999999999999E-3</v>
      </c>
      <c r="G4">
        <v>2.3519999999999999E-2</v>
      </c>
    </row>
    <row r="5" spans="1:7">
      <c r="A5" s="1">
        <v>44797</v>
      </c>
      <c r="B5">
        <v>-168.18279999999999</v>
      </c>
      <c r="C5">
        <v>68.685299999999998</v>
      </c>
      <c r="D5">
        <v>2</v>
      </c>
      <c r="E5">
        <v>2.7699999999999999E-3</v>
      </c>
      <c r="F5">
        <v>8.4499999999999992E-3</v>
      </c>
      <c r="G5">
        <v>3.6740000000000002E-2</v>
      </c>
    </row>
    <row r="6" spans="1:7">
      <c r="A6" s="1">
        <v>44798</v>
      </c>
      <c r="B6">
        <v>-168.65379999999999</v>
      </c>
      <c r="C6">
        <v>70.692700000000002</v>
      </c>
      <c r="D6">
        <v>2</v>
      </c>
      <c r="E6">
        <v>5.9900000000000005E-3</v>
      </c>
      <c r="F6">
        <v>1.5499999999999999E-3</v>
      </c>
      <c r="G6">
        <v>3.236E-2</v>
      </c>
    </row>
    <row r="7" spans="1:7">
      <c r="A7" s="1">
        <v>44798</v>
      </c>
      <c r="B7">
        <v>-162.95230000000001</v>
      </c>
      <c r="C7">
        <v>69.982500000000002</v>
      </c>
      <c r="D7">
        <v>2</v>
      </c>
      <c r="E7">
        <v>7.1999999999999994E-4</v>
      </c>
      <c r="F7">
        <v>9.6699999999999998E-3</v>
      </c>
      <c r="G7">
        <v>6.8700000000000002E-3</v>
      </c>
    </row>
    <row r="8" spans="1:7">
      <c r="A8" s="1">
        <v>44799</v>
      </c>
      <c r="B8">
        <v>-164.36199999999999</v>
      </c>
      <c r="C8">
        <v>71.734200000000001</v>
      </c>
      <c r="D8">
        <v>2</v>
      </c>
      <c r="E8">
        <v>1.31E-3</v>
      </c>
      <c r="F8">
        <v>7.6E-3</v>
      </c>
      <c r="G8">
        <v>9.2109999999999997E-2</v>
      </c>
    </row>
    <row r="9" spans="1:7">
      <c r="A9" s="1">
        <v>44802</v>
      </c>
      <c r="B9">
        <v>-158.48249999999999</v>
      </c>
      <c r="C9">
        <v>71.688000000000002</v>
      </c>
      <c r="D9">
        <v>2</v>
      </c>
      <c r="E9">
        <v>1.6000000000000001E-4</v>
      </c>
      <c r="F9">
        <v>3.2599999999999999E-3</v>
      </c>
      <c r="G9">
        <v>3.424E-2</v>
      </c>
    </row>
    <row r="10" spans="1:7">
      <c r="A10" s="1">
        <v>44802</v>
      </c>
      <c r="B10">
        <v>-154.864</v>
      </c>
      <c r="C10">
        <v>71.811499999999995</v>
      </c>
      <c r="D10">
        <v>2</v>
      </c>
      <c r="E10">
        <v>3.8000000000000002E-4</v>
      </c>
      <c r="F10">
        <v>8.539999999999999E-3</v>
      </c>
      <c r="G10">
        <v>5.527E-2</v>
      </c>
    </row>
    <row r="11" spans="1:7">
      <c r="A11" s="1">
        <v>44803</v>
      </c>
      <c r="B11">
        <v>-153.6</v>
      </c>
      <c r="C11">
        <v>71.958500000000001</v>
      </c>
      <c r="D11">
        <v>2</v>
      </c>
      <c r="E11">
        <v>4.2999999999999999E-4</v>
      </c>
      <c r="F11">
        <v>1.3480000000000001E-2</v>
      </c>
      <c r="G11">
        <v>5.3380000000000004E-2</v>
      </c>
    </row>
    <row r="12" spans="1:7">
      <c r="A12" s="1">
        <v>44807</v>
      </c>
      <c r="B12">
        <v>-168.9023</v>
      </c>
      <c r="C12">
        <v>70.1935</v>
      </c>
      <c r="D12">
        <v>2</v>
      </c>
      <c r="E12">
        <v>1.73E-3</v>
      </c>
      <c r="F12">
        <v>1.64E-3</v>
      </c>
      <c r="G12">
        <v>2.6780000000000002E-2</v>
      </c>
    </row>
    <row r="13" spans="1:7">
      <c r="A13" s="1">
        <v>44807</v>
      </c>
      <c r="B13">
        <v>-168.88300000000001</v>
      </c>
      <c r="C13">
        <v>68.058499999999995</v>
      </c>
      <c r="D13">
        <v>2</v>
      </c>
      <c r="E13">
        <v>3.5E-4</v>
      </c>
      <c r="F13">
        <v>8.7100000000000007E-3</v>
      </c>
      <c r="G13">
        <v>1.1269999999999999E-2</v>
      </c>
    </row>
    <row r="14" spans="1:7">
      <c r="A14" s="1">
        <v>44808</v>
      </c>
      <c r="B14">
        <v>-167.56979999999999</v>
      </c>
      <c r="C14">
        <v>66.498500000000007</v>
      </c>
      <c r="D14">
        <v>2</v>
      </c>
      <c r="E14">
        <v>4.3899999999999998E-3</v>
      </c>
      <c r="F14">
        <v>3.0300000000000001E-2</v>
      </c>
      <c r="G14">
        <v>4.0399999999999998E-2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36</vt:i4>
      </vt:variant>
    </vt:vector>
  </HeadingPairs>
  <TitlesOfParts>
    <vt:vector size="36" baseType="lpstr">
      <vt:lpstr>Sheet1</vt:lpstr>
      <vt:lpstr>Sheet2</vt:lpstr>
      <vt:lpstr>Sheet4</vt:lpstr>
      <vt:lpstr>Price-1988</vt:lpstr>
      <vt:lpstr>AE1032-single_cell_uptake</vt:lpstr>
      <vt:lpstr>McCarthy</vt:lpstr>
      <vt:lpstr>Eppley 1973</vt:lpstr>
      <vt:lpstr>Eppley 1977</vt:lpstr>
      <vt:lpstr>Harriosn-1985</vt:lpstr>
      <vt:lpstr>Kanda 1985</vt:lpstr>
      <vt:lpstr>Probyn-1985</vt:lpstr>
      <vt:lpstr>Kokkinakis 1987</vt:lpstr>
      <vt:lpstr>Shahlsten-1987</vt:lpstr>
      <vt:lpstr>Probyn-1988</vt:lpstr>
      <vt:lpstr>Chang-1992</vt:lpstr>
      <vt:lpstr>Metzler-1997</vt:lpstr>
      <vt:lpstr>Riegman-1998</vt:lpstr>
      <vt:lpstr>Mengesha-1998</vt:lpstr>
      <vt:lpstr>Varela-1999</vt:lpstr>
      <vt:lpstr>Watts-1999</vt:lpstr>
      <vt:lpstr>Join-2001</vt:lpstr>
      <vt:lpstr>Moore-2002</vt:lpstr>
      <vt:lpstr>Savoya-2004</vt:lpstr>
      <vt:lpstr>Varela-2005</vt:lpstr>
      <vt:lpstr>Painter-2008</vt:lpstr>
      <vt:lpstr>Jourbert-2011</vt:lpstr>
      <vt:lpstr>Thomalla-2011</vt:lpstr>
      <vt:lpstr>Prakash-2015</vt:lpstr>
      <vt:lpstr>Varela-2013</vt:lpstr>
      <vt:lpstr>Xu-2019</vt:lpstr>
      <vt:lpstr>Baer-2019</vt:lpstr>
      <vt:lpstr>Smith-2022</vt:lpstr>
      <vt:lpstr>Flynn-2023</vt:lpstr>
      <vt:lpstr>Shiozaki-2021</vt:lpstr>
      <vt:lpstr>Stanley-2023</vt:lpstr>
      <vt:lpstr>Lim-2024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Taketoshi Kodama</dc:creator>
  <cp:lastModifiedBy>Taketoshi Kodama</cp:lastModifiedBy>
  <dcterms:created xsi:type="dcterms:W3CDTF">2025-11-06T16:36:44Z</dcterms:created>
  <dcterms:modified xsi:type="dcterms:W3CDTF">2025-12-11T01:07:49Z</dcterms:modified>
</cp:coreProperties>
</file>